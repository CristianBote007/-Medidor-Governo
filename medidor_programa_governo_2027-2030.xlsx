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opostas" sheetId="2" state="visible" r:id="rId4"/>
    <sheet name="Lula 2022 (2023-2026)" sheetId="3" state="visible" r:id="rId5"/>
    <sheet name="Gastos" sheetId="4" state="hidden" r:id="rId6"/>
    <sheet name="Resumo" sheetId="5" state="visible" r:id="rId7"/>
  </sheets>
  <definedNames>
    <definedName function="false" hidden="true" localSheetId="2" name="_xlnm._FilterDatabase" vbProcedure="false">'Lula 2022 (2023-2026)'!$A$1:$N$89</definedName>
    <definedName function="false" hidden="true" localSheetId="1" name="_xlnm._FilterDatabase" vbProcedure="false">Propostas!$A$1:$N$290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<sst xmlns="http://schemas.openxmlformats.org/spreadsheetml/2006/main" count="3481" uniqueCount="1484">
  <si>
    <t xml:space="preserve">Medidor do Programa de Governo Lula 2027-2030: base de dados</t>
  </si>
  <si>
    <t xml:space="preserve">Origem</t>
  </si>
  <si>
    <t xml:space="preserve">PDF do programa de governo (84 páginas, 13 eixos) enviado pelo usuário, que informou ser o documento registrado no TSE. Extração em 25/10/2026.</t>
  </si>
  <si>
    <t xml:space="preserve">O que é</t>
  </si>
  <si>
    <t xml:space="preserve">Lista de compromissos futuros extraídos do texto. O programa não traz lista numerada; cada linha é um resumo, em palavras próprias, de um compromisso do texto. Há um item por compromisso, mas compromissos muito parecidos foram agrupados.</t>
  </si>
  <si>
    <t xml:space="preserve">Quantidade</t>
  </si>
  <si>
    <t xml:space="preserve">289 itens (veja a aba Resumo para a divisão por eixo e tipo).</t>
  </si>
  <si>
    <t xml:space="preserve">Tipos</t>
  </si>
  <si>
    <t xml:space="preserve">Meta numérica: traz número ou prazo explícito. Marco verificável: criar, instituir, regulamentar, aprovar algo (feito ou não feito). Diretriz: 'fortalecer', 'ampliar', 'manter', sem meta; precisa de indicador antes de ser medida.</t>
  </si>
  <si>
    <t xml:space="preserve">Linha de base</t>
  </si>
  <si>
    <t xml:space="preserve">Números que o próprio programa cita como resultado do mandato atual. São afirmações do documento, não foram verificados de forma independente.</t>
  </si>
  <si>
    <t xml:space="preserve">Pág.</t>
  </si>
  <si>
    <t xml:space="preserve">Página aproximada (±1) no PDF; faixas como 15-16 indicam que o tema atravessa páginas.</t>
  </si>
  <si>
    <t xml:space="preserve">Início do acompanhamento</t>
  </si>
  <si>
    <t xml:space="preserve">Os compromissos valem para o mandato 2027-2030. Todos começam como 'Não iniciada' e 0%. Itens com marco já cumprido antes da posse (ex.: PEC enviada ao Congresso) estão anotados na coluna de linha de base.</t>
  </si>
  <si>
    <t xml:space="preserve">Classificação</t>
  </si>
  <si>
    <t xml:space="preserve">Eixo, tipo e resumo são interpretação de quem montou a base. Indicador e fonte sugeridos são pontos de partida e precisam ser validados antes da publicação.</t>
  </si>
  <si>
    <t xml:space="preserve">Como atualizar</t>
  </si>
  <si>
    <t xml:space="preserve">Edite apenas as colunas em azul na aba Propostas: Status (lista), % de avanço (0 a 100%), Atualizado em, Link da fonte, Observações. As demais colunas e a aba Resumo não precisam de edição.</t>
  </si>
  <si>
    <t xml:space="preserve">Regra sugerida de status</t>
  </si>
  <si>
    <t xml:space="preserve">Concluída = marco cumprido ou meta atingida (avanço 100%). Em andamento = ato ou ação iniciada, com fonte pública. Sem dados = não há fonte para medir. Cite sempre o link da fonte oficial.</t>
  </si>
  <si>
    <t xml:space="preserve">Exemplo de linha preenchida</t>
  </si>
  <si>
    <t xml:space="preserve">Status: Em andamento | % de avanço: 35% | Atualizado em: 15/03/2027 | Link: https://www.in.gov.br/... | Observações: decreto publicado, regulamentação pendente. (Exemplo ilustrativo, não está nos dados.)</t>
  </si>
  <si>
    <t xml:space="preserve">Neutralidade</t>
  </si>
  <si>
    <t xml:space="preserve">Para o site e o app, mostre sempre a fonte e a data de cada atualização, e deixe claro que o status é uma classificação do projeto, não um dado oficial do governo.</t>
  </si>
  <si>
    <t xml:space="preserve">Aba Gastos</t>
  </si>
  <si>
    <t xml:space="preserve">Fora do escopo por ora: a aba Gastos e o bloco de gastos do Resumo estão ocultos (não foram apagados). Para reativar, use Exibir/Reexibir planilha e reexiba as linhas 34 a 39 do Resumo.</t>
  </si>
  <si>
    <t xml:space="preserve">Exemplo de gasto</t>
  </si>
  <si>
    <t xml:space="preserve">P040 | Obra de creche | 1.500.000,00 | 600.000,00 | 10/03/2027 | Portal da Transparência | https://portaldatransparencia.gov.br/... | seu nome | observação. (Exemplo ilustrativo, não está nos dados.)</t>
  </si>
  <si>
    <t xml:space="preserve">Atenção</t>
  </si>
  <si>
    <t xml:space="preserve">A planilha confere o domínio de forma simples. A página faz a checagem completa e mostra como 'não contabilizado' qualquer link suspeito. Confira sempre o link abrindo-o.</t>
  </si>
  <si>
    <t xml:space="preserve">Aba Lula 2022 (2023-2026)</t>
  </si>
  <si>
    <t xml:space="preserve">Compara 88 diretrizes do programa de 2022 (PDF de 21 páginas, 121 diretrizes numeradas; as colunas Diretriz nº e Pág. seguem esse PDF) com fontes públicas, nos mesmos 13 eixos do programa de 2027. Cada status traz evidência, fonte, classe da fonte (Oficial, Agência pública ou Imprensa), link e data. Sem fonte, o status é Sem dados: a evidência diz se o item já foi pesquisado sem resultado ou ainda está na fila. A classificação é do projeto e não é dado oficial. O mandato segue até 31/12/2026, então o balanço é parcial.</t>
  </si>
  <si>
    <t xml:space="preserve">Itens fora do balanço</t>
  </si>
  <si>
    <t xml:space="preserve">Ficaram de fora do balanço o preâmbulo (itens 1 a 11 do PDF) e diretrizes só descritivas ou repetidas (ex.: 12, 48, 50, 52, 56, 61, 66, 68, 72, 73, 76, 82, 83, 90, 92, 93, 97, 98, 104, 105, 112, 114, 117, 121).</t>
  </si>
  <si>
    <t xml:space="preserve">ID</t>
  </si>
  <si>
    <t xml:space="preserve">Eixo</t>
  </si>
  <si>
    <t xml:space="preserve">Tema</t>
  </si>
  <si>
    <t xml:space="preserve">Proposta (resumo)</t>
  </si>
  <si>
    <t xml:space="preserve">Tipo</t>
  </si>
  <si>
    <t xml:space="preserve">Meta</t>
  </si>
  <si>
    <t xml:space="preserve">Linha de base citada no programa</t>
  </si>
  <si>
    <t xml:space="preserve">Indicador / fonte sugerida</t>
  </si>
  <si>
    <t xml:space="preserve">Status</t>
  </si>
  <si>
    <t xml:space="preserve">% de avanço</t>
  </si>
  <si>
    <t xml:space="preserve">Atualizado em</t>
  </si>
  <si>
    <t xml:space="preserve">Link da fonte da atualização</t>
  </si>
  <si>
    <t xml:space="preserve">Observações</t>
  </si>
  <si>
    <t xml:space="preserve">P001</t>
  </si>
  <si>
    <t xml:space="preserve">1. Democracia e Estado</t>
  </si>
  <si>
    <t xml:space="preserve">Reforma política</t>
  </si>
  <si>
    <t xml:space="preserve">Reforma política e eleitoral para aproximar a representação política da sociedade</t>
  </si>
  <si>
    <t xml:space="preserve">15</t>
  </si>
  <si>
    <t xml:space="preserve">Marco verificável</t>
  </si>
  <si>
    <t xml:space="preserve">Câmara e Senado (tramitação de PEC/PL)</t>
  </si>
  <si>
    <t xml:space="preserve">Não iniciada</t>
  </si>
  <si>
    <t xml:space="preserve">P002</t>
  </si>
  <si>
    <t xml:space="preserve">Participação social</t>
  </si>
  <si>
    <t xml:space="preserve">Manter conselhos e conferências nacionais e o Sistema de Participação Social</t>
  </si>
  <si>
    <t xml:space="preserve">Diretriz (sem meta)</t>
  </si>
  <si>
    <t xml:space="preserve">28 conferências desde 2023</t>
  </si>
  <si>
    <t xml:space="preserve">Secretaria-Geral da Presidência (nº de conferências)</t>
  </si>
  <si>
    <t xml:space="preserve">P003</t>
  </si>
  <si>
    <t xml:space="preserve">PPA 2028-2031 mais participativo e participação social no ciclo orçamentário</t>
  </si>
  <si>
    <t xml:space="preserve">PPA 2028-2031</t>
  </si>
  <si>
    <t xml:space="preserve">PPA atual: 1,4 mi de participantes</t>
  </si>
  <si>
    <t xml:space="preserve">Projeto de lei do PPA e plataforma Brasil Participativo</t>
  </si>
  <si>
    <t xml:space="preserve">P004</t>
  </si>
  <si>
    <t xml:space="preserve">Orçamento</t>
  </si>
  <si>
    <t xml:space="preserve">Debater com a sociedade o sistema de emendas parlamentares</t>
  </si>
  <si>
    <t xml:space="preserve">15-16</t>
  </si>
  <si>
    <t xml:space="preserve">Emendas 2026: R$ 50 bi</t>
  </si>
  <si>
    <t xml:space="preserve">Lei Orçamentária (valor de emendas)</t>
  </si>
  <si>
    <t xml:space="preserve">P005</t>
  </si>
  <si>
    <t xml:space="preserve">Plataformas digitais</t>
  </si>
  <si>
    <t xml:space="preserve">Avançar na regulação democrática de redes sociais e plataformas</t>
  </si>
  <si>
    <t xml:space="preserve">16</t>
  </si>
  <si>
    <t xml:space="preserve">Projetos de lei e regulamentos publicados</t>
  </si>
  <si>
    <t xml:space="preserve">P006</t>
  </si>
  <si>
    <t xml:space="preserve">Justiça</t>
  </si>
  <si>
    <t xml:space="preserve">Diálogo permanente com o Judiciário para reduzir a morosidade</t>
  </si>
  <si>
    <t xml:space="preserve">A definir: indicador oficial do órgão responsável</t>
  </si>
  <si>
    <t xml:space="preserve">P007</t>
  </si>
  <si>
    <t xml:space="preserve">Servidores</t>
  </si>
  <si>
    <t xml:space="preserve">Aprofundar valorização de servidores pela Mesa Nacional de Negociação Permanente</t>
  </si>
  <si>
    <t xml:space="preserve">Mesa reaberta no mandato atual</t>
  </si>
  <si>
    <t xml:space="preserve">P008</t>
  </si>
  <si>
    <t xml:space="preserve">Gestão</t>
  </si>
  <si>
    <t xml:space="preserve">"Governo para cada pessoa": serviços personalizados e Base de Dados do Brasil</t>
  </si>
  <si>
    <t xml:space="preserve">16-17</t>
  </si>
  <si>
    <t xml:space="preserve">P009</t>
  </si>
  <si>
    <t xml:space="preserve">Governo digital</t>
  </si>
  <si>
    <t xml:space="preserve">Universalizar serviços públicos digitais de qualidade e ampliar o Gov.br</t>
  </si>
  <si>
    <t xml:space="preserve">17</t>
  </si>
  <si>
    <t xml:space="preserve">Gov.br: mais de 5 mil serviços</t>
  </si>
  <si>
    <t xml:space="preserve">Painel do Gov.br (nº de serviços)</t>
  </si>
  <si>
    <t xml:space="preserve">P010</t>
  </si>
  <si>
    <t xml:space="preserve">Letramento digital</t>
  </si>
  <si>
    <t xml:space="preserve">Instituir a Política Nacional de Letramento Digital</t>
  </si>
  <si>
    <t xml:space="preserve">Diário Oficial da União / Congresso: publicação do ato (lei, decreto, portaria)</t>
  </si>
  <si>
    <t xml:space="preserve">P011</t>
  </si>
  <si>
    <t xml:space="preserve">Soberania digital</t>
  </si>
  <si>
    <t xml:space="preserve">Criar o Conselho Nacional pela Soberania Digital, com participação da sociedade</t>
  </si>
  <si>
    <t xml:space="preserve">P012</t>
  </si>
  <si>
    <t xml:space="preserve">Aprimorar centralização e compartilhamento de serviços de suporte entre ministérios</t>
  </si>
  <si>
    <t xml:space="preserve">P013</t>
  </si>
  <si>
    <t xml:space="preserve">Compras públicas</t>
  </si>
  <si>
    <t xml:space="preserve">Aprimorar o uso do poder de compra do Estado (Contrata+ Brasil)</t>
  </si>
  <si>
    <t xml:space="preserve">P014</t>
  </si>
  <si>
    <t xml:space="preserve">Patrimônio da União</t>
  </si>
  <si>
    <t xml:space="preserve">Continuar o Imóvel da Gente e o Fundo Imobiliário da União</t>
  </si>
  <si>
    <t xml:space="preserve">17-18</t>
  </si>
  <si>
    <t xml:space="preserve">1,8 mil imóveis destinados</t>
  </si>
  <si>
    <t xml:space="preserve">P015</t>
  </si>
  <si>
    <t xml:space="preserve">Federalismo</t>
  </si>
  <si>
    <t xml:space="preserve">Fortalecer cooperação e governança federativa (infraestrutura digital, formação de servidores)</t>
  </si>
  <si>
    <t xml:space="preserve">18</t>
  </si>
  <si>
    <t xml:space="preserve">P016</t>
  </si>
  <si>
    <t xml:space="preserve">Integridade</t>
  </si>
  <si>
    <t xml:space="preserve">Aprofundar o Plano de Integridade e Combate à Corrupção 2025-2027</t>
  </si>
  <si>
    <t xml:space="preserve">CGU</t>
  </si>
  <si>
    <t xml:space="preserve">P017</t>
  </si>
  <si>
    <t xml:space="preserve">Transparência</t>
  </si>
  <si>
    <t xml:space="preserve">Evoluir o Portal da Transparência para plataforma inteligente com dados abertos e IA</t>
  </si>
  <si>
    <t xml:space="preserve">P018</t>
  </si>
  <si>
    <t xml:space="preserve">Controle social</t>
  </si>
  <si>
    <t xml:space="preserve">Fortalecer a Ouvidoria-Geral da União e a participação no combate à corrupção</t>
  </si>
  <si>
    <t xml:space="preserve">P019</t>
  </si>
  <si>
    <t xml:space="preserve">2. Desigualdades</t>
  </si>
  <si>
    <t xml:space="preserve">Proteção social</t>
  </si>
  <si>
    <t xml:space="preserve">Manter, aperfeiçoar e ampliar políticas de proteção social e de transferência de renda</t>
  </si>
  <si>
    <t xml:space="preserve">MDS (famílias atendidas, pobreza extrema)</t>
  </si>
  <si>
    <t xml:space="preserve">P020</t>
  </si>
  <si>
    <t xml:space="preserve">Igualdade racial</t>
  </si>
  <si>
    <t xml:space="preserve">Implementar as deliberações da V CONAPIR</t>
  </si>
  <si>
    <t xml:space="preserve">19</t>
  </si>
  <si>
    <t xml:space="preserve">P021</t>
  </si>
  <si>
    <t xml:space="preserve">Avançar na regulamentação do Estatuto da Igualdade Racial</t>
  </si>
  <si>
    <t xml:space="preserve">P022</t>
  </si>
  <si>
    <t xml:space="preserve">Manter política de cotas e fomentar participação negra no funcionalismo, inclusive em cargos superiores</t>
  </si>
  <si>
    <t xml:space="preserve">P023</t>
  </si>
  <si>
    <t xml:space="preserve">Educação étnico-racial</t>
  </si>
  <si>
    <t xml:space="preserve">Acelerar a Política Nacional de Equidade e Educação Escolar Quilombola (PNEERQ)</t>
  </si>
  <si>
    <t xml:space="preserve">20</t>
  </si>
  <si>
    <t xml:space="preserve">P024</t>
  </si>
  <si>
    <t xml:space="preserve">Quilombolas</t>
  </si>
  <si>
    <t xml:space="preserve">Abrir novos campi quilombo dos Institutos Federais</t>
  </si>
  <si>
    <t xml:space="preserve">1º campus em Minas Nova</t>
  </si>
  <si>
    <t xml:space="preserve">P025</t>
  </si>
  <si>
    <t xml:space="preserve">Seguir titulando territórios quilombolas e acelerar os procedimentos</t>
  </si>
  <si>
    <t xml:space="preserve">65 titulações e 72 decretos desde 2023</t>
  </si>
  <si>
    <t xml:space="preserve">Incra (nº de titulações)</t>
  </si>
  <si>
    <t xml:space="preserve">P026</t>
  </si>
  <si>
    <t xml:space="preserve">Povos indígenas</t>
  </si>
  <si>
    <t xml:space="preserve">Demarcação e desintrusão de terras indígenas sempre que necessário</t>
  </si>
  <si>
    <t xml:space="preserve">20 terras homologadas; 9 desintrusões</t>
  </si>
  <si>
    <t xml:space="preserve">Funai / MPI</t>
  </si>
  <si>
    <t xml:space="preserve">P027</t>
  </si>
  <si>
    <t xml:space="preserve">Educação escolar indígena com autonomia e interculturalidade</t>
  </si>
  <si>
    <t xml:space="preserve">P028</t>
  </si>
  <si>
    <t xml:space="preserve">Implantar plenamente a Universidade Indígena</t>
  </si>
  <si>
    <t xml:space="preserve">Criada em 2026</t>
  </si>
  <si>
    <t xml:space="preserve">P029</t>
  </si>
  <si>
    <t xml:space="preserve">Reverter impactos na terra Yanomami e manter saúde indígena diferenciada</t>
  </si>
  <si>
    <t xml:space="preserve">20-21</t>
  </si>
  <si>
    <t xml:space="preserve">Garimpo reduzido em 99%</t>
  </si>
  <si>
    <t xml:space="preserve">Sesai / Funai</t>
  </si>
  <si>
    <t xml:space="preserve">P030</t>
  </si>
  <si>
    <t xml:space="preserve">Mulheres</t>
  </si>
  <si>
    <t xml:space="preserve">Dar sequência ao Pacto de Enfrentamento ao Feminicídio</t>
  </si>
  <si>
    <t xml:space="preserve">21</t>
  </si>
  <si>
    <t xml:space="preserve">Ministério das Mulheres</t>
  </si>
  <si>
    <t xml:space="preserve">P031</t>
  </si>
  <si>
    <t xml:space="preserve">Concluir as 30 Casas da Mulher Brasileira e os 15 Centros de Referência da Mulher Brasileira</t>
  </si>
  <si>
    <t xml:space="preserve">Meta numérica</t>
  </si>
  <si>
    <t xml:space="preserve">30 casas e 15 centros</t>
  </si>
  <si>
    <t xml:space="preserve">Ministério das Mulheres (unidades entregues)</t>
  </si>
  <si>
    <t xml:space="preserve">P032</t>
  </si>
  <si>
    <t xml:space="preserve">Ampliar as Salas Lilás</t>
  </si>
  <si>
    <t xml:space="preserve">P033</t>
  </si>
  <si>
    <t xml:space="preserve">Adquirir e distribuir aos estados kits de monitoramento de agressores</t>
  </si>
  <si>
    <t xml:space="preserve">P034</t>
  </si>
  <si>
    <t xml:space="preserve">Capacitar forças de segurança no atendimento a vítimas de violência</t>
  </si>
  <si>
    <t xml:space="preserve">P035</t>
  </si>
  <si>
    <t xml:space="preserve">Autonomia econômica: Lei da Igualdade Salarial, crédito Pronaf, Mulheres Mil, empreendedorismo e ciência</t>
  </si>
  <si>
    <t xml:space="preserve">21-22</t>
  </si>
  <si>
    <t xml:space="preserve">P036</t>
  </si>
  <si>
    <t xml:space="preserve">Pessoas idosas</t>
  </si>
  <si>
    <t xml:space="preserve">Apoiar municípios na expansão de Centros-Dia e equipamentos de envelhecimento ativo</t>
  </si>
  <si>
    <t xml:space="preserve">22</t>
  </si>
  <si>
    <t xml:space="preserve">P037</t>
  </si>
  <si>
    <t xml:space="preserve">Apoiar mais vagas públicas em ILPIs e melhorar a fiscalização</t>
  </si>
  <si>
    <t xml:space="preserve">P038</t>
  </si>
  <si>
    <t xml:space="preserve">Dar escala ao PADI Brasil (atenção domiciliar ao idoso) em todo o território</t>
  </si>
  <si>
    <t xml:space="preserve">Cobertura nacional</t>
  </si>
  <si>
    <t xml:space="preserve">2.655 municípios</t>
  </si>
  <si>
    <t xml:space="preserve">Ministério da Saúde (municípios com PADI)</t>
  </si>
  <si>
    <t xml:space="preserve">P039</t>
  </si>
  <si>
    <t xml:space="preserve">Ampliar parcerias com o setor privado para qualificar e contratar pessoas 60+</t>
  </si>
  <si>
    <t xml:space="preserve">23</t>
  </si>
  <si>
    <t xml:space="preserve">P040</t>
  </si>
  <si>
    <t xml:space="preserve">Letramento digital para idosos e prevenção a fraudes</t>
  </si>
  <si>
    <t xml:space="preserve">P041</t>
  </si>
  <si>
    <t xml:space="preserve">Pessoas com deficiência</t>
  </si>
  <si>
    <t xml:space="preserve">Manter o Viver sem Limites; fiscalizar acessibilidade e cotas de contratação</t>
  </si>
  <si>
    <t xml:space="preserve">P042</t>
  </si>
  <si>
    <t xml:space="preserve">Ampliar Centros Especializados em Reabilitação e Oficinas Ortopédicas</t>
  </si>
  <si>
    <t xml:space="preserve">52 CERs e 17 oficinas apoiados</t>
  </si>
  <si>
    <t xml:space="preserve">Ministério da Saúde</t>
  </si>
  <si>
    <t xml:space="preserve">P043</t>
  </si>
  <si>
    <t xml:space="preserve">Apoiar educação inclusiva e educação bilíngue de surdos</t>
  </si>
  <si>
    <t xml:space="preserve">P044</t>
  </si>
  <si>
    <t xml:space="preserve">LGBTQIAP+</t>
  </si>
  <si>
    <t xml:space="preserve">Considerar gênero, identidade e orientação sexual na formulação de políticas</t>
  </si>
  <si>
    <t xml:space="preserve">P045</t>
  </si>
  <si>
    <t xml:space="preserve">Crianças</t>
  </si>
  <si>
    <t xml:space="preserve">Enfrentar a pobreza infantil e garantir o direito ao brincar</t>
  </si>
  <si>
    <t xml:space="preserve">24</t>
  </si>
  <si>
    <t xml:space="preserve">P046</t>
  </si>
  <si>
    <t xml:space="preserve">Aprimorar o ECA Digital, regulamentar uso de telas por faixa etária e plataformas de jogos</t>
  </si>
  <si>
    <t xml:space="preserve">P047</t>
  </si>
  <si>
    <t xml:space="preserve">Manter combate prioritário à pedofilia com inteligência e agilidade na punição</t>
  </si>
  <si>
    <t xml:space="preserve">P048</t>
  </si>
  <si>
    <t xml:space="preserve">Juventude</t>
  </si>
  <si>
    <t xml:space="preserve">Aprimorar o Pé-de-Meia</t>
  </si>
  <si>
    <t xml:space="preserve">P049</t>
  </si>
  <si>
    <t xml:space="preserve">Manter cursinhos populares (CPop) e fortalecer a assistência estudantil</t>
  </si>
  <si>
    <t xml:space="preserve">P050</t>
  </si>
  <si>
    <t xml:space="preserve">Política de aprendizagem para o trabalho, empreendedorismo e crédito à juventude rural</t>
  </si>
  <si>
    <t xml:space="preserve">24-25</t>
  </si>
  <si>
    <t xml:space="preserve">P051</t>
  </si>
  <si>
    <t xml:space="preserve">Aprimorar a política de saúde mental da juventude</t>
  </si>
  <si>
    <t xml:space="preserve">25</t>
  </si>
  <si>
    <t xml:space="preserve">P052</t>
  </si>
  <si>
    <t xml:space="preserve">Apoiar produção cultural das periferias e ampliar a participação juvenil nas decisões</t>
  </si>
  <si>
    <t xml:space="preserve">P053</t>
  </si>
  <si>
    <t xml:space="preserve">Assistência social</t>
  </si>
  <si>
    <t xml:space="preserve">Fortalecer o SUAS e integrá-lo à agenda de desastres climáticos</t>
  </si>
  <si>
    <t xml:space="preserve">MDS</t>
  </si>
  <si>
    <t xml:space="preserve">P054</t>
  </si>
  <si>
    <t xml:space="preserve">Cuidados</t>
  </si>
  <si>
    <t xml:space="preserve">Fortalecer e dar escala à Política Nacional de Cuidados</t>
  </si>
  <si>
    <t xml:space="preserve">25-26</t>
  </si>
  <si>
    <t xml:space="preserve">P055</t>
  </si>
  <si>
    <t xml:space="preserve">Apoiar as Cuidotecas (acolhida de crianças de 3 a 12 anos)</t>
  </si>
  <si>
    <t xml:space="preserve">26</t>
  </si>
  <si>
    <t xml:space="preserve">P056</t>
  </si>
  <si>
    <t xml:space="preserve">Fomentar lavanderias públicas, cozinhas solidárias e restaurantes populares</t>
  </si>
  <si>
    <t xml:space="preserve">P057</t>
  </si>
  <si>
    <t xml:space="preserve">Instituir programa de capacitação de cuidadores</t>
  </si>
  <si>
    <t xml:space="preserve">P058</t>
  </si>
  <si>
    <t xml:space="preserve">3. Segurança pública</t>
  </si>
  <si>
    <t xml:space="preserve">PEC da Segurança Pública (revisar atribuições dos entes federados)</t>
  </si>
  <si>
    <t xml:space="preserve">27</t>
  </si>
  <si>
    <t xml:space="preserve">Enviada ao Congresso</t>
  </si>
  <si>
    <t xml:space="preserve">Câmara e Senado (tramitação)</t>
  </si>
  <si>
    <t xml:space="preserve">P059</t>
  </si>
  <si>
    <t xml:space="preserve">Estrutura</t>
  </si>
  <si>
    <t xml:space="preserve">Criar o Ministério da Segurança Pública, após aprovação da PEC</t>
  </si>
  <si>
    <t xml:space="preserve">30</t>
  </si>
  <si>
    <t xml:space="preserve">P060</t>
  </si>
  <si>
    <t xml:space="preserve">Crime organizado</t>
  </si>
  <si>
    <t xml:space="preserve">Manter asfixia financeira, agilizar procedimentos jurídicos e barrar candidaturas ligadas ao crime</t>
  </si>
  <si>
    <t xml:space="preserve">R$ 35,8 bi de prejuízo ao crime desde 2023</t>
  </si>
  <si>
    <t xml:space="preserve">Polícia Federal / MJSP</t>
  </si>
  <si>
    <t xml:space="preserve">P061</t>
  </si>
  <si>
    <t xml:space="preserve">Fortalecer o Programa Brasil Contra o Crime Organizado (R$ 10 bi do FIIS para estados e municípios)</t>
  </si>
  <si>
    <t xml:space="preserve">27-28</t>
  </si>
  <si>
    <t xml:space="preserve">R$ 10 bi</t>
  </si>
  <si>
    <t xml:space="preserve">Lançado em maio/2026</t>
  </si>
  <si>
    <t xml:space="preserve">MJSP (valor repassado)</t>
  </si>
  <si>
    <t xml:space="preserve">P062</t>
  </si>
  <si>
    <t xml:space="preserve">Presença do Estado</t>
  </si>
  <si>
    <t xml:space="preserve">Urbanização de favelas e periferias e requalificação de espaços públicos</t>
  </si>
  <si>
    <t xml:space="preserve">28</t>
  </si>
  <si>
    <t xml:space="preserve">P063</t>
  </si>
  <si>
    <t xml:space="preserve">Inteligência</t>
  </si>
  <si>
    <t xml:space="preserve">Consolidar o Sistema de Inteligência de Segurança Pública; modernizar SINESP e Infoseg; ampliar FICCOs</t>
  </si>
  <si>
    <t xml:space="preserve">P064</t>
  </si>
  <si>
    <t xml:space="preserve">Armas</t>
  </si>
  <si>
    <t xml:space="preserve">Manter controle de armas e munições; melhorar rastreabilidade e fiscalização</t>
  </si>
  <si>
    <t xml:space="preserve">Polícia Federal / Exército</t>
  </si>
  <si>
    <t xml:space="preserve">P065</t>
  </si>
  <si>
    <t xml:space="preserve">Sistema prisional</t>
  </si>
  <si>
    <t xml:space="preserve">Cumprir as metas do Plano Pena Justa</t>
  </si>
  <si>
    <t xml:space="preserve">P066</t>
  </si>
  <si>
    <t xml:space="preserve">Instituir o Pacto Nacional de Execução Penal contra o Crime Organizado</t>
  </si>
  <si>
    <t xml:space="preserve">P067</t>
  </si>
  <si>
    <t xml:space="preserve">Fortalecer o sistema penitenciário federal e criar protocolo nacional de transferência de presos de alta periculosidade</t>
  </si>
  <si>
    <t xml:space="preserve">P068</t>
  </si>
  <si>
    <t xml:space="preserve">Amazônia</t>
  </si>
  <si>
    <t xml:space="preserve">Consolidar as FICCOs como política de Estado e manter as Forças Armadas nas fronteiras</t>
  </si>
  <si>
    <t xml:space="preserve">29</t>
  </si>
  <si>
    <t xml:space="preserve">P069</t>
  </si>
  <si>
    <t xml:space="preserve">Investir em radares, drones, sensores, satélites e centros integrados de comando e controle</t>
  </si>
  <si>
    <t xml:space="preserve">P070</t>
  </si>
  <si>
    <t xml:space="preserve">Crimes patrimoniais</t>
  </si>
  <si>
    <t xml:space="preserve">Expandir o Celular Seguro</t>
  </si>
  <si>
    <t xml:space="preserve">Mais de 4 mi de usuários</t>
  </si>
  <si>
    <t xml:space="preserve">MJSP</t>
  </si>
  <si>
    <t xml:space="preserve">P071</t>
  </si>
  <si>
    <t xml:space="preserve">Crimes digitais</t>
  </si>
  <si>
    <t xml:space="preserve">Reforçar prevenção e repressão a crimes financeiros e cibernéticos</t>
  </si>
  <si>
    <t xml:space="preserve">P072</t>
  </si>
  <si>
    <t xml:space="preserve">Prevenção</t>
  </si>
  <si>
    <t xml:space="preserve">Prevenção da violência com foco na juventude negra; mediação comunitária e justiça restaurativa</t>
  </si>
  <si>
    <t xml:space="preserve">P073</t>
  </si>
  <si>
    <t xml:space="preserve">Migração</t>
  </si>
  <si>
    <t xml:space="preserve">Implementar plenamente a Política Nacional de Migrações, Refúgio e Apatridia</t>
  </si>
  <si>
    <t xml:space="preserve">P074</t>
  </si>
  <si>
    <t xml:space="preserve">Polícia</t>
  </si>
  <si>
    <t xml:space="preserve">Policiamento de proximidade, mais câmeras corporais com padrão nacional e controle da atividade policial</t>
  </si>
  <si>
    <t xml:space="preserve">P075</t>
  </si>
  <si>
    <t xml:space="preserve">4. Educação</t>
  </si>
  <si>
    <t xml:space="preserve">Planejamento</t>
  </si>
  <si>
    <t xml:space="preserve">Cumprir as metas do Plano Nacional de Educação 2026-2036</t>
  </si>
  <si>
    <t xml:space="preserve">31</t>
  </si>
  <si>
    <t xml:space="preserve">Inep (monitoramento do PNE)</t>
  </si>
  <si>
    <t xml:space="preserve">P076</t>
  </si>
  <si>
    <t xml:space="preserve">Alfabetização</t>
  </si>
  <si>
    <t xml:space="preserve">Alcançar 80% das crianças alfabetizadas na idade certa</t>
  </si>
  <si>
    <t xml:space="preserve">80%</t>
  </si>
  <si>
    <t xml:space="preserve">66% em 2025 (meta era 64%)</t>
  </si>
  <si>
    <t xml:space="preserve">Inep / MEC (indicador Criança Alfabetizada)</t>
  </si>
  <si>
    <t xml:space="preserve">P077</t>
  </si>
  <si>
    <t xml:space="preserve">Enfrentar o analfabetismo da população adulta</t>
  </si>
  <si>
    <t xml:space="preserve">IBGE (PNAD)</t>
  </si>
  <si>
    <t xml:space="preserve">P078</t>
  </si>
  <si>
    <t xml:space="preserve">Aprendizagem</t>
  </si>
  <si>
    <t xml:space="preserve">Instituir estratégia nacional permanente de recomposição e aceleração das aprendizagens</t>
  </si>
  <si>
    <t xml:space="preserve">P079</t>
  </si>
  <si>
    <t xml:space="preserve">Creches</t>
  </si>
  <si>
    <t xml:space="preserve">Nova edição do Novo PAC: ampliar fomento a creches e pré-escolas</t>
  </si>
  <si>
    <t xml:space="preserve">3.562 unidades em 2.360 municípios</t>
  </si>
  <si>
    <t xml:space="preserve">Painel do Novo PAC</t>
  </si>
  <si>
    <t xml:space="preserve">P080</t>
  </si>
  <si>
    <t xml:space="preserve">Tempo integral</t>
  </si>
  <si>
    <t xml:space="preserve">Prioridade absoluta à expansão da educação em tempo integral (financiamento via Fundeb)</t>
  </si>
  <si>
    <t xml:space="preserve">1,8 mi de matrículas novas em 2023-2025</t>
  </si>
  <si>
    <t xml:space="preserve">Censo Escolar (Inep)</t>
  </si>
  <si>
    <t xml:space="preserve">P081</t>
  </si>
  <si>
    <t xml:space="preserve">Infraestrutura escolar</t>
  </si>
  <si>
    <t xml:space="preserve">Manter apoio a estados e municípios na construção de escolas</t>
  </si>
  <si>
    <t xml:space="preserve">32</t>
  </si>
  <si>
    <t xml:space="preserve">686 escolas de tempo integral</t>
  </si>
  <si>
    <t xml:space="preserve">P082</t>
  </si>
  <si>
    <t xml:space="preserve">Conectividade</t>
  </si>
  <si>
    <t xml:space="preserve">Universalizar internet de qualidade nas escolas</t>
  </si>
  <si>
    <t xml:space="preserve">100% das escolas</t>
  </si>
  <si>
    <t xml:space="preserve">75% das escolas</t>
  </si>
  <si>
    <t xml:space="preserve">MEC / Anatel</t>
  </si>
  <si>
    <t xml:space="preserve">P083</t>
  </si>
  <si>
    <t xml:space="preserve">Permanência</t>
  </si>
  <si>
    <t xml:space="preserve">Dar continuidade e fortalecer o Pé-de-Meia</t>
  </si>
  <si>
    <t xml:space="preserve">7,3 mi de jovens beneficiados</t>
  </si>
  <si>
    <t xml:space="preserve">MEC</t>
  </si>
  <si>
    <t xml:space="preserve">P084</t>
  </si>
  <si>
    <t xml:space="preserve">Acesso digital</t>
  </si>
  <si>
    <t xml:space="preserve">Ampliar o acervo do MEC Livros e as línguas do MEC Idiomas</t>
  </si>
  <si>
    <t xml:space="preserve">P085</t>
  </si>
  <si>
    <t xml:space="preserve">Apoio técnico a estados e municípios e compartilhamento de dados educacionais</t>
  </si>
  <si>
    <t xml:space="preserve">P086</t>
  </si>
  <si>
    <t xml:space="preserve">Professores</t>
  </si>
  <si>
    <t xml:space="preserve">Manter o Piso Nacional do Magistério</t>
  </si>
  <si>
    <t xml:space="preserve">32-33</t>
  </si>
  <si>
    <t xml:space="preserve">P087</t>
  </si>
  <si>
    <t xml:space="preserve">Continuar Pé-de-Meia Licenciatura e Bolsa Mais Professores</t>
  </si>
  <si>
    <t xml:space="preserve">33</t>
  </si>
  <si>
    <t xml:space="preserve">P088</t>
  </si>
  <si>
    <t xml:space="preserve">Educação profissional</t>
  </si>
  <si>
    <t xml:space="preserve">Expandir a rede de Institutos Federais (+111 campi em 106 municípios)</t>
  </si>
  <si>
    <t xml:space="preserve">111 campi</t>
  </si>
  <si>
    <t xml:space="preserve">Em andamento</t>
  </si>
  <si>
    <t xml:space="preserve">MEC / Setec</t>
  </si>
  <si>
    <t xml:space="preserve">P089</t>
  </si>
  <si>
    <t xml:space="preserve">Ensino superior</t>
  </si>
  <si>
    <t xml:space="preserve">Concluir obras em curso, inclusive de novos campi</t>
  </si>
  <si>
    <t xml:space="preserve">10 campi e 367 obras no Novo PAC</t>
  </si>
  <si>
    <t xml:space="preserve">P090</t>
  </si>
  <si>
    <t xml:space="preserve">Concluir a nova unidade do ITA no Ceará</t>
  </si>
  <si>
    <t xml:space="preserve">P091</t>
  </si>
  <si>
    <t xml:space="preserve">Concluir a implantação da Universidade Indígena e da Universidade do Esporte</t>
  </si>
  <si>
    <t xml:space="preserve">P092</t>
  </si>
  <si>
    <t xml:space="preserve">Novo ciclo de expansão e interiorização da educação superior pública</t>
  </si>
  <si>
    <t xml:space="preserve">P093</t>
  </si>
  <si>
    <t xml:space="preserve">Aperfeiçoar a assistência estudantil</t>
  </si>
  <si>
    <t xml:space="preserve">P094</t>
  </si>
  <si>
    <t xml:space="preserve">Pós-graduação</t>
  </si>
  <si>
    <t xml:space="preserve">Ampliar e melhorar a pós-graduação em regiões pouco atendidas</t>
  </si>
  <si>
    <t xml:space="preserve">34</t>
  </si>
  <si>
    <t xml:space="preserve">Capes</t>
  </si>
  <si>
    <t xml:space="preserve">P095</t>
  </si>
  <si>
    <t xml:space="preserve">Hospitais universitários</t>
  </si>
  <si>
    <t xml:space="preserve">Implantar novos hospitais universitários articulados ao Agora Tem Especialistas</t>
  </si>
  <si>
    <t xml:space="preserve">13 novas unidades</t>
  </si>
  <si>
    <t xml:space="preserve">P096</t>
  </si>
  <si>
    <t xml:space="preserve">5. Saúde</t>
  </si>
  <si>
    <t xml:space="preserve">Atenção básica</t>
  </si>
  <si>
    <t xml:space="preserve">Apoiar expansão e qualificação das equipes de saúde da família e multiprofissionais</t>
  </si>
  <si>
    <t xml:space="preserve">34-35</t>
  </si>
  <si>
    <t xml:space="preserve">Ministério da Saúde (e-Gestor)</t>
  </si>
  <si>
    <t xml:space="preserve">P097</t>
  </si>
  <si>
    <t xml:space="preserve">Saúde digital</t>
  </si>
  <si>
    <t xml:space="preserve">Intensificar teleconsultas, teleorientação e teleacolhimento</t>
  </si>
  <si>
    <t xml:space="preserve">35</t>
  </si>
  <si>
    <t xml:space="preserve">5.257 kits entregues</t>
  </si>
  <si>
    <t xml:space="preserve">P098</t>
  </si>
  <si>
    <t xml:space="preserve">Diagnóstico</t>
  </si>
  <si>
    <t xml:space="preserve">Ampliar oferta de exames na atenção básica</t>
  </si>
  <si>
    <t xml:space="preserve">P099</t>
  </si>
  <si>
    <t xml:space="preserve">Integração</t>
  </si>
  <si>
    <t xml:space="preserve">Integrar atenção primária, vigilância, assistência farmacêutica e especializada (OCI)</t>
  </si>
  <si>
    <t xml:space="preserve">P100</t>
  </si>
  <si>
    <t xml:space="preserve">Prontuário</t>
  </si>
  <si>
    <t xml:space="preserve">Consolidar o prontuário único do cidadão (RNDS), com agendamento e exames no celular</t>
  </si>
  <si>
    <t xml:space="preserve">P101</t>
  </si>
  <si>
    <t xml:space="preserve">Inteligência artificial</t>
  </si>
  <si>
    <t xml:space="preserve">Usar IA em triagem, priorização de casos graves e regulação por risco clínico</t>
  </si>
  <si>
    <t xml:space="preserve">P102</t>
  </si>
  <si>
    <t xml:space="preserve">Mais Médicos</t>
  </si>
  <si>
    <t xml:space="preserve">Manter o programa, fixar profissionais e formar especialistas em medicina de família</t>
  </si>
  <si>
    <t xml:space="preserve">Programa dobrou de tamanho</t>
  </si>
  <si>
    <t xml:space="preserve">P103</t>
  </si>
  <si>
    <t xml:space="preserve">Saúde bucal</t>
  </si>
  <si>
    <t xml:space="preserve">Universalizar saúde bucal: 1.228 CEOs e 1.324 Unidades Odontológicas Móveis até o fim de 2026</t>
  </si>
  <si>
    <t xml:space="preserve">36</t>
  </si>
  <si>
    <t xml:space="preserve">1.228 CEOs; 1.324 UOMs</t>
  </si>
  <si>
    <t xml:space="preserve">Quase 35 mil equipes em 5.208 municípios</t>
  </si>
  <si>
    <t xml:space="preserve">P104</t>
  </si>
  <si>
    <t xml:space="preserve">Farmácia Popular</t>
  </si>
  <si>
    <t xml:space="preserve">Manter 100% gratuita, revisar medicamentos e fraldas geriátricas</t>
  </si>
  <si>
    <t xml:space="preserve">41 medicamentos; 27,3 mi de pessoas em 2025</t>
  </si>
  <si>
    <t xml:space="preserve">P105</t>
  </si>
  <si>
    <t xml:space="preserve">Mais locais de retirada nas periferias e onde não houver farmácia privada</t>
  </si>
  <si>
    <t xml:space="preserve">P106</t>
  </si>
  <si>
    <t xml:space="preserve">Incluir exames laboratoriais de condições crônicas (hipertensão, diabetes)</t>
  </si>
  <si>
    <t xml:space="preserve">P107</t>
  </si>
  <si>
    <t xml:space="preserve">Vacinação</t>
  </si>
  <si>
    <t xml:space="preserve">Ampliar cobertura vacinal, campanhas e vacinação nas escolas</t>
  </si>
  <si>
    <t xml:space="preserve">Cobertura ampliada em 15 de 16 vacinas infantis</t>
  </si>
  <si>
    <t xml:space="preserve">PNI / Ministério da Saúde</t>
  </si>
  <si>
    <t xml:space="preserve">P108</t>
  </si>
  <si>
    <t xml:space="preserve">Fortalecer vacinas contra HPV, dengue e VSR; incorporar novas vacinas ao calendário</t>
  </si>
  <si>
    <t xml:space="preserve">36-37</t>
  </si>
  <si>
    <t xml:space="preserve">P109</t>
  </si>
  <si>
    <t xml:space="preserve">Agora Tem Especialistas</t>
  </si>
  <si>
    <t xml:space="preserve">Expandir terceiro turno, Carretas da Saúde e mutirões</t>
  </si>
  <si>
    <t xml:space="preserve">37</t>
  </si>
  <si>
    <t xml:space="preserve">15 mi de cirurgias em 2025</t>
  </si>
  <si>
    <t xml:space="preserve">P110</t>
  </si>
  <si>
    <t xml:space="preserve">Manter parceria com hospitais privados em troca de créditos ou dívidas</t>
  </si>
  <si>
    <t xml:space="preserve">P111</t>
  </si>
  <si>
    <t xml:space="preserve">Equipamentos</t>
  </si>
  <si>
    <t xml:space="preserve">Ampliar e modernizar hemodinâmica, tomografia, ressonância, radioterapia e PET-CT</t>
  </si>
  <si>
    <t xml:space="preserve">37-38</t>
  </si>
  <si>
    <t xml:space="preserve">P112</t>
  </si>
  <si>
    <t xml:space="preserve">Mais telessaúde, telecirurgia, cirurgia robótica e hospitais inteligentes</t>
  </si>
  <si>
    <t xml:space="preserve">38</t>
  </si>
  <si>
    <t xml:space="preserve">P113</t>
  </si>
  <si>
    <t xml:space="preserve">Regulação</t>
  </si>
  <si>
    <t xml:space="preserve">Fila única digital por risco clínico, com transparência e transporte sanitário</t>
  </si>
  <si>
    <t xml:space="preserve">P114</t>
  </si>
  <si>
    <t xml:space="preserve">Câncer</t>
  </si>
  <si>
    <t xml:space="preserve">Consolidar a rede de câncer; Supercentro Brasil de telediagnóstico; ampliar UNACONs e CACONs</t>
  </si>
  <si>
    <t xml:space="preserve">P115</t>
  </si>
  <si>
    <t xml:space="preserve">Saúde da mulher</t>
  </si>
  <si>
    <t xml:space="preserve">Reforçar exames e diagnóstico precoce de câncer de mama e colo do útero e cuidado a endometriose</t>
  </si>
  <si>
    <t xml:space="preserve">P116</t>
  </si>
  <si>
    <t xml:space="preserve">Ampliar contraceptivos modernos e de longa duração gratuitos no SUS</t>
  </si>
  <si>
    <t xml:space="preserve">Implanom: 1,4 mi de unidades</t>
  </si>
  <si>
    <t xml:space="preserve">P117</t>
  </si>
  <si>
    <t xml:space="preserve">Fortalecer o Programa Dignidade Menstrual</t>
  </si>
  <si>
    <t xml:space="preserve">3,3 mi de beneficiadas</t>
  </si>
  <si>
    <t xml:space="preserve">P118</t>
  </si>
  <si>
    <t xml:space="preserve">Maternidade segura: reduzir mortalidade materna e fortalecer Rede Alyne</t>
  </si>
  <si>
    <t xml:space="preserve">38-39</t>
  </si>
  <si>
    <t xml:space="preserve">39 maternidades e 27 Centros de Parto apoiados</t>
  </si>
  <si>
    <t xml:space="preserve">Ministério da Saúde (razão de mortalidade materna)</t>
  </si>
  <si>
    <t xml:space="preserve">P119</t>
  </si>
  <si>
    <t xml:space="preserve">Saúde mental</t>
  </si>
  <si>
    <t xml:space="preserve">Ampliar a Rede de Atenção Psicossocial e os CAPS, com foco em crianças e jovens</t>
  </si>
  <si>
    <t xml:space="preserve">39</t>
  </si>
  <si>
    <t xml:space="preserve">336 CAPS apoiados</t>
  </si>
  <si>
    <t xml:space="preserve">P120</t>
  </si>
  <si>
    <t xml:space="preserve">Fortalecer diagnóstico de TEA, cuidado a mulheres em violência e atenção a apostas</t>
  </si>
  <si>
    <t xml:space="preserve">P121</t>
  </si>
  <si>
    <t xml:space="preserve">Soberania sanitária</t>
  </si>
  <si>
    <t xml:space="preserve">Fomentar o Complexo Econômico-Industrial da Saúde e as PDPs</t>
  </si>
  <si>
    <t xml:space="preserve">31 PDPs desde 2024</t>
  </si>
  <si>
    <t xml:space="preserve">P122</t>
  </si>
  <si>
    <t xml:space="preserve">P&amp;D de insumos farmacêuticos da biodiversidade e sequenciamento genômico</t>
  </si>
  <si>
    <t xml:space="preserve">P123</t>
  </si>
  <si>
    <t xml:space="preserve">6. Cultura e esporte</t>
  </si>
  <si>
    <t xml:space="preserve">Cultura</t>
  </si>
  <si>
    <t xml:space="preserve">Aperfeiçoar a Lei Aldir Blanc e a Lei Rouanet com transparência</t>
  </si>
  <si>
    <t xml:space="preserve">40-41</t>
  </si>
  <si>
    <t xml:space="preserve">Ministério da Cultura</t>
  </si>
  <si>
    <t xml:space="preserve">P124</t>
  </si>
  <si>
    <t xml:space="preserve">Desconcentrar regionalmente o fomento e fortalecer instâncias de participação social</t>
  </si>
  <si>
    <t xml:space="preserve">41</t>
  </si>
  <si>
    <t xml:space="preserve">P125</t>
  </si>
  <si>
    <t xml:space="preserve">Políticas de salvaguarda e direito autoral para mestras e mestres das culturas populares</t>
  </si>
  <si>
    <t xml:space="preserve">P126</t>
  </si>
  <si>
    <t xml:space="preserve">Fortalecer a Política Nacional Cultura Viva e os Pontos de Cultura</t>
  </si>
  <si>
    <t xml:space="preserve">16 mil Pontos e Pontões</t>
  </si>
  <si>
    <t xml:space="preserve">P127</t>
  </si>
  <si>
    <t xml:space="preserve">Ampliar infraestrutura cultural nas periferias (CEUs, bibliotecas, restauração de patrimônio)</t>
  </si>
  <si>
    <t xml:space="preserve">1.500 bibliotecas no MCMV; 144 obras de restauração</t>
  </si>
  <si>
    <t xml:space="preserve">P128</t>
  </si>
  <si>
    <t xml:space="preserve">Fomentar circulação e mobilidade artística</t>
  </si>
  <si>
    <t xml:space="preserve">P129</t>
  </si>
  <si>
    <t xml:space="preserve">Audiovisual</t>
  </si>
  <si>
    <t xml:space="preserve">Aprovar a regulamentação do streaming (VOD) no Congresso</t>
  </si>
  <si>
    <t xml:space="preserve">42</t>
  </si>
  <si>
    <t xml:space="preserve">Congresso</t>
  </si>
  <si>
    <t xml:space="preserve">P130</t>
  </si>
  <si>
    <t xml:space="preserve">Fortalecer governança e consolidar política industrial do audiovisual</t>
  </si>
  <si>
    <t xml:space="preserve">P131</t>
  </si>
  <si>
    <t xml:space="preserve">Direito autoral</t>
  </si>
  <si>
    <t xml:space="preserve">Aprovar lei de direito autoral no ambiente digital e regular a IA para remunerar criadores</t>
  </si>
  <si>
    <t xml:space="preserve">P132</t>
  </si>
  <si>
    <t xml:space="preserve">Fortalecer a diplomacia cultural e a internacionalização da produção brasileira</t>
  </si>
  <si>
    <t xml:space="preserve">P133</t>
  </si>
  <si>
    <t xml:space="preserve">Economia criativa</t>
  </si>
  <si>
    <t xml:space="preserve">Estimular empreendedorismo cultural, crédito e cursos técnicos de formação artística</t>
  </si>
  <si>
    <t xml:space="preserve">P134</t>
  </si>
  <si>
    <t xml:space="preserve">Games</t>
  </si>
  <si>
    <t xml:space="preserve">Seguir apoiando o setor de games</t>
  </si>
  <si>
    <t xml:space="preserve">Marco Legal dos Games sancionado</t>
  </si>
  <si>
    <t xml:space="preserve">P135</t>
  </si>
  <si>
    <t xml:space="preserve">Cultura e educação</t>
  </si>
  <si>
    <t xml:space="preserve">Ampliar Mais Cultura nas Escolas e Arte e Cultura no tempo integral</t>
  </si>
  <si>
    <t xml:space="preserve">43</t>
  </si>
  <si>
    <t xml:space="preserve">P136</t>
  </si>
  <si>
    <t xml:space="preserve">Programas de formação de plateia</t>
  </si>
  <si>
    <t xml:space="preserve">P137</t>
  </si>
  <si>
    <t xml:space="preserve">Esporte</t>
  </si>
  <si>
    <t xml:space="preserve">Ampliar o Bolsa Atleta e manter patrocínio de estatais</t>
  </si>
  <si>
    <t xml:space="preserve">11 mil atletas em 2026</t>
  </si>
  <si>
    <t xml:space="preserve">Ministério do Esporte</t>
  </si>
  <si>
    <t xml:space="preserve">P138</t>
  </si>
  <si>
    <t xml:space="preserve">Realizar a Copa do Mundo de Futebol Feminino em 8 capitais</t>
  </si>
  <si>
    <t xml:space="preserve">8 capitais</t>
  </si>
  <si>
    <t xml:space="preserve">Evento previsto para o próximo mandato</t>
  </si>
  <si>
    <t xml:space="preserve">A definir: indicador oficial da meta</t>
  </si>
  <si>
    <t xml:space="preserve">P139</t>
  </si>
  <si>
    <t xml:space="preserve">Implementar a Universidade do Esporte</t>
  </si>
  <si>
    <t xml:space="preserve">Aprovada pelo Congresso</t>
  </si>
  <si>
    <t xml:space="preserve">P140</t>
  </si>
  <si>
    <t xml:space="preserve">Instituir a rede nacional de pesquisa, inovação e tecnologia do esporte</t>
  </si>
  <si>
    <t xml:space="preserve">P141</t>
  </si>
  <si>
    <t xml:space="preserve">Ampliar o apoio às Arenas Brasil em todos os estados</t>
  </si>
  <si>
    <t xml:space="preserve">44</t>
  </si>
  <si>
    <t xml:space="preserve">500 unidades apoiadas</t>
  </si>
  <si>
    <t xml:space="preserve">P142</t>
  </si>
  <si>
    <t xml:space="preserve">7. Direito à cidade</t>
  </si>
  <si>
    <t xml:space="preserve">Cidades</t>
  </si>
  <si>
    <t xml:space="preserve">Fortalecer capacidade técnica e financeira dos municípios</t>
  </si>
  <si>
    <t xml:space="preserve">45</t>
  </si>
  <si>
    <t xml:space="preserve">P143</t>
  </si>
  <si>
    <t xml:space="preserve">Habitação</t>
  </si>
  <si>
    <t xml:space="preserve">Manter e ampliar o Minha Casa Minha Vida para todas as faixas</t>
  </si>
  <si>
    <t xml:space="preserve">3 mi de moradias até o fim de 2026</t>
  </si>
  <si>
    <t xml:space="preserve">Meta de 2 mi atingida antes do prazo</t>
  </si>
  <si>
    <t xml:space="preserve">Ministério das Cidades (contratações)</t>
  </si>
  <si>
    <t xml:space="preserve">P144</t>
  </si>
  <si>
    <t xml:space="preserve">Instituir o Compra Assistida (aquisição de imóveis prontos em casos excepcionais)</t>
  </si>
  <si>
    <t xml:space="preserve">P145</t>
  </si>
  <si>
    <t xml:space="preserve">Usar áreas da União e o Fundo Imobiliário da União para moradia</t>
  </si>
  <si>
    <t xml:space="preserve">P146</t>
  </si>
  <si>
    <t xml:space="preserve">Aprimorar e ampliar o Reforma Casa Brasil</t>
  </si>
  <si>
    <t xml:space="preserve">P147</t>
  </si>
  <si>
    <t xml:space="preserve">Periferias</t>
  </si>
  <si>
    <t xml:space="preserve">Garantir recursos para concluir as obras do Periferia Viva</t>
  </si>
  <si>
    <t xml:space="preserve">45-46</t>
  </si>
  <si>
    <t xml:space="preserve">144 obras (85 retomadas + 59 selecionadas)</t>
  </si>
  <si>
    <t xml:space="preserve">Ministério das Cidades</t>
  </si>
  <si>
    <t xml:space="preserve">P148</t>
  </si>
  <si>
    <t xml:space="preserve">Fazer novas rodadas de seleção do Periferia Viva</t>
  </si>
  <si>
    <t xml:space="preserve">46</t>
  </si>
  <si>
    <t xml:space="preserve">P149</t>
  </si>
  <si>
    <t xml:space="preserve">Saneamento</t>
  </si>
  <si>
    <t xml:space="preserve">Apoiar a universalização de água tratada e esgoto, priorizando periferias</t>
  </si>
  <si>
    <t xml:space="preserve">R$ 23,3 bi em novas obras</t>
  </si>
  <si>
    <t xml:space="preserve">Painel do Novo PAC / SNIS</t>
  </si>
  <si>
    <t xml:space="preserve">P150</t>
  </si>
  <si>
    <t xml:space="preserve">Mobilidade</t>
  </si>
  <si>
    <t xml:space="preserve">Apoiar transporte de alta capacidade (233 km de metrô, trem e VLT; 296 km de BRT)</t>
  </si>
  <si>
    <t xml:space="preserve">233 km + 296 km</t>
  </si>
  <si>
    <t xml:space="preserve">Carteira do Novo PAC</t>
  </si>
  <si>
    <t xml:space="preserve">P151</t>
  </si>
  <si>
    <t xml:space="preserve">Renovar e eletrificar frotas (3.942 ônibus Euro 6, 203 elétricos, 39 veículos sobre trilhos)</t>
  </si>
  <si>
    <t xml:space="preserve">3.942 + 203 + 39</t>
  </si>
  <si>
    <t xml:space="preserve">P152</t>
  </si>
  <si>
    <t xml:space="preserve">Investir na integração de regiões metropolitanas e cidades médias</t>
  </si>
  <si>
    <t xml:space="preserve">P153</t>
  </si>
  <si>
    <t xml:space="preserve">Clima nas cidades</t>
  </si>
  <si>
    <t xml:space="preserve">Contenção de encostas e drenagem; aprimorar a Defesa Civil</t>
  </si>
  <si>
    <t xml:space="preserve">47</t>
  </si>
  <si>
    <t xml:space="preserve">R$ 25 bi no Novo PAC</t>
  </si>
  <si>
    <t xml:space="preserve">P154</t>
  </si>
  <si>
    <t xml:space="preserve">Infraestrutura verde, proteção de mananciais e ocupação resiliente</t>
  </si>
  <si>
    <t xml:space="preserve">P155</t>
  </si>
  <si>
    <t xml:space="preserve">Resíduos</t>
  </si>
  <si>
    <t xml:space="preserve">Apoiar resíduos sólidos e esgoto, com biogás e biometano</t>
  </si>
  <si>
    <t xml:space="preserve">P156</t>
  </si>
  <si>
    <t xml:space="preserve">8. Economia</t>
  </si>
  <si>
    <t xml:space="preserve">Macroeconomia</t>
  </si>
  <si>
    <t xml:space="preserve">Criar condições para redução sustentada dos juros, com inflação controlada</t>
  </si>
  <si>
    <t xml:space="preserve">49</t>
  </si>
  <si>
    <t xml:space="preserve">Banco Central (Selic)</t>
  </si>
  <si>
    <t xml:space="preserve">P157</t>
  </si>
  <si>
    <t xml:space="preserve">Fiscal</t>
  </si>
  <si>
    <t xml:space="preserve">Manter o novo arcabouço fiscal</t>
  </si>
  <si>
    <t xml:space="preserve">Déficit primário ~0,4% do PIB em 2026</t>
  </si>
  <si>
    <t xml:space="preserve">Tesouro Nacional</t>
  </si>
  <si>
    <t xml:space="preserve">P158</t>
  </si>
  <si>
    <t xml:space="preserve">Inflação</t>
  </si>
  <si>
    <t xml:space="preserve">Manter a inflação sob controle</t>
  </si>
  <si>
    <t xml:space="preserve">Média anual de 4,6% no mandato</t>
  </si>
  <si>
    <t xml:space="preserve">IBGE (IPCA)</t>
  </si>
  <si>
    <t xml:space="preserve">P159</t>
  </si>
  <si>
    <t xml:space="preserve">Sistema financeiro</t>
  </si>
  <si>
    <t xml:space="preserve">Fortalecer regulação e aprofundar o mercado de capitais doméstico</t>
  </si>
  <si>
    <t xml:space="preserve">P160</t>
  </si>
  <si>
    <t xml:space="preserve">Endividamento</t>
  </si>
  <si>
    <t xml:space="preserve">Monitorar endividamento, manter fundos garantidores e controle de apostas, aprimorar regras de crédito</t>
  </si>
  <si>
    <t xml:space="preserve">P161</t>
  </si>
  <si>
    <t xml:space="preserve">Indústria</t>
  </si>
  <si>
    <t xml:space="preserve">Fortalecer a Nova Indústria Brasil e a neoindustrialização (IA, minerais críticos)</t>
  </si>
  <si>
    <t xml:space="preserve">50</t>
  </si>
  <si>
    <t xml:space="preserve">R$ 860 bi em financiamentos (P+P) 2023-2026</t>
  </si>
  <si>
    <t xml:space="preserve">BNDES / MDIC</t>
  </si>
  <si>
    <t xml:space="preserve">P162</t>
  </si>
  <si>
    <t xml:space="preserve">Ciência e tecnologia</t>
  </si>
  <si>
    <t xml:space="preserve">Ampliar investimentos em CT&amp;I</t>
  </si>
  <si>
    <t xml:space="preserve">MCTI</t>
  </si>
  <si>
    <t xml:space="preserve">P163</t>
  </si>
  <si>
    <t xml:space="preserve">Seguir com o Programa Conhecimento Brasil (repatriação e fixação de cientistas)</t>
  </si>
  <si>
    <t xml:space="preserve">50-51</t>
  </si>
  <si>
    <t xml:space="preserve">599 aprovados de 2.500 interessados</t>
  </si>
  <si>
    <t xml:space="preserve">P164</t>
  </si>
  <si>
    <t xml:space="preserve">Usar financiamento, compras públicas e conteúdo local; manter FNDCT sem contingenciamento</t>
  </si>
  <si>
    <t xml:space="preserve">51</t>
  </si>
  <si>
    <t xml:space="preserve">P165</t>
  </si>
  <si>
    <t xml:space="preserve">Transformação ecológica</t>
  </si>
  <si>
    <t xml:space="preserve">Instituir incentivos baseados na Taxonomia Sustentável Brasileira</t>
  </si>
  <si>
    <t xml:space="preserve">P166</t>
  </si>
  <si>
    <t xml:space="preserve">Regulamentar o Sistema Brasileiro de Comércio de Emissões (SBCE)</t>
  </si>
  <si>
    <t xml:space="preserve">P167</t>
  </si>
  <si>
    <t xml:space="preserve">Ampliar produção local em cadeias estratégicas e digitalizar a indústria (Indústria 4.0)</t>
  </si>
  <si>
    <t xml:space="preserve">52</t>
  </si>
  <si>
    <t xml:space="preserve">P168</t>
  </si>
  <si>
    <t xml:space="preserve">Minerais críticos</t>
  </si>
  <si>
    <t xml:space="preserve">Desenvolver política específica para minerais críticos e terras raras</t>
  </si>
  <si>
    <t xml:space="preserve">P169</t>
  </si>
  <si>
    <t xml:space="preserve">Comércio exterior</t>
  </si>
  <si>
    <t xml:space="preserve">Estimular exportações de maior valor agregado e aprimorar defesa comercial</t>
  </si>
  <si>
    <t xml:space="preserve">P170</t>
  </si>
  <si>
    <t xml:space="preserve">Logística</t>
  </si>
  <si>
    <t xml:space="preserve">Nova edição do Novo PAC e revisão dos planos de logística de longo prazo</t>
  </si>
  <si>
    <t xml:space="preserve">52-53</t>
  </si>
  <si>
    <t xml:space="preserve">R$ 1,3 tri em execução</t>
  </si>
  <si>
    <t xml:space="preserve">P171</t>
  </si>
  <si>
    <t xml:space="preserve">Manter ritmo de concessões rodoviárias e intensificar as ferroviárias</t>
  </si>
  <si>
    <t xml:space="preserve">53</t>
  </si>
  <si>
    <t xml:space="preserve">P172</t>
  </si>
  <si>
    <t xml:space="preserve">Fortalecer aeroportos regionais e incentivar novas rotas</t>
  </si>
  <si>
    <t xml:space="preserve">P173</t>
  </si>
  <si>
    <t xml:space="preserve">Novos arrendamentos portuários e concessão de canais de acesso</t>
  </si>
  <si>
    <t xml:space="preserve">54</t>
  </si>
  <si>
    <t xml:space="preserve">P174</t>
  </si>
  <si>
    <t xml:space="preserve">Economia digital</t>
  </si>
  <si>
    <t xml:space="preserve">Fomentar ecossistema nacional de datacenters, nuvem e IA de empresas brasileiras</t>
  </si>
  <si>
    <t xml:space="preserve">P175</t>
  </si>
  <si>
    <t xml:space="preserve">Construir infraestrutura computacional soberana (supercomputadores nacionais)</t>
  </si>
  <si>
    <t xml:space="preserve">P176</t>
  </si>
  <si>
    <t xml:space="preserve">Exigir salvaguardas socioambientais e contrapartidas de conteúdo local em datacenters</t>
  </si>
  <si>
    <t xml:space="preserve">54-55</t>
  </si>
  <si>
    <t xml:space="preserve">P177</t>
  </si>
  <si>
    <t xml:space="preserve">Desenvolver modelos de linguagem em português e plataforma nacional de dados</t>
  </si>
  <si>
    <t xml:space="preserve">55</t>
  </si>
  <si>
    <t xml:space="preserve">P178</t>
  </si>
  <si>
    <t xml:space="preserve">Difundir IA em agro, saúde, finanças e pequenas empresas</t>
  </si>
  <si>
    <t xml:space="preserve">P179</t>
  </si>
  <si>
    <t xml:space="preserve">Formar talentos e consolidar hub nacional de competências digitais</t>
  </si>
  <si>
    <t xml:space="preserve">P180</t>
  </si>
  <si>
    <t xml:space="preserve">Reduzir déficit de fibra óptica (11% dos municípios) e ampliar 5G no campo</t>
  </si>
  <si>
    <t xml:space="preserve">Zerar déficit de fibra</t>
  </si>
  <si>
    <t xml:space="preserve">11% dos municípios sem fibra</t>
  </si>
  <si>
    <t xml:space="preserve">Anatel</t>
  </si>
  <si>
    <t xml:space="preserve">P181</t>
  </si>
  <si>
    <t xml:space="preserve">Consolidar transparência algorítmica e rastreabilidade de conteúdo sintético</t>
  </si>
  <si>
    <t xml:space="preserve">P182</t>
  </si>
  <si>
    <t xml:space="preserve">Desenvolvimento regional</t>
  </si>
  <si>
    <t xml:space="preserve">Fortalecer fundos constitucionais (FNE, FNO, FCO) como instrumento central</t>
  </si>
  <si>
    <t xml:space="preserve">55-56</t>
  </si>
  <si>
    <t xml:space="preserve">P183</t>
  </si>
  <si>
    <t xml:space="preserve">Regulamentar o Fundo Nacional de Desenvolvimento Regional</t>
  </si>
  <si>
    <t xml:space="preserve">56</t>
  </si>
  <si>
    <t xml:space="preserve">P184</t>
  </si>
  <si>
    <t xml:space="preserve">Aplicar critério de equilíbrio territorial em inovação, compras e infraestrutura</t>
  </si>
  <si>
    <t xml:space="preserve">P185</t>
  </si>
  <si>
    <t xml:space="preserve">Expandir políticas de bioeconomia e regularização fundiária; manter Fundo Amazônia</t>
  </si>
  <si>
    <t xml:space="preserve">P186</t>
  </si>
  <si>
    <t xml:space="preserve">Nordeste</t>
  </si>
  <si>
    <t xml:space="preserve">Atrair indústrias eletrointensivas e energia renovável ao Nordeste</t>
  </si>
  <si>
    <t xml:space="preserve">Nordeste tem ~70% da geração eólica e solar</t>
  </si>
  <si>
    <t xml:space="preserve">P187</t>
  </si>
  <si>
    <t xml:space="preserve">Turismo</t>
  </si>
  <si>
    <t xml:space="preserve">Apoiar turismo, criar novos roteiros e promover o Brasil no exterior</t>
  </si>
  <si>
    <t xml:space="preserve">57</t>
  </si>
  <si>
    <t xml:space="preserve">Gasto de turistas estrangeiros: US$ 10,4 bi</t>
  </si>
  <si>
    <t xml:space="preserve">Ministério do Turismo / Embratur</t>
  </si>
  <si>
    <t xml:space="preserve">P188</t>
  </si>
  <si>
    <t xml:space="preserve">Pequenos negócios</t>
  </si>
  <si>
    <t xml:space="preserve">Simplificar ambiente de negócios, ampliar compras governamentais e garantir tratamento tributário justo</t>
  </si>
  <si>
    <t xml:space="preserve">P189</t>
  </si>
  <si>
    <t xml:space="preserve">Ampliar acesso a crédito por fundos garantidores</t>
  </si>
  <si>
    <t xml:space="preserve">58</t>
  </si>
  <si>
    <t xml:space="preserve">Pronampe: 1,6 mi de operações</t>
  </si>
  <si>
    <t xml:space="preserve">P190</t>
  </si>
  <si>
    <t xml:space="preserve">Ampliar fundos de participação estruturados por bancos públicos</t>
  </si>
  <si>
    <t xml:space="preserve">P191</t>
  </si>
  <si>
    <t xml:space="preserve">Ampliar o Brasil Mais Produtivo</t>
  </si>
  <si>
    <t xml:space="preserve">P192</t>
  </si>
  <si>
    <t xml:space="preserve">9. Segurança alimentar e agro</t>
  </si>
  <si>
    <t xml:space="preserve">Segurança alimentar</t>
  </si>
  <si>
    <t xml:space="preserve">Fortalecer instâncias de participação e governança de segurança alimentar</t>
  </si>
  <si>
    <t xml:space="preserve">P193</t>
  </si>
  <si>
    <t xml:space="preserve">Alimentação escolar</t>
  </si>
  <si>
    <t xml:space="preserve">Apoiar estados e municípios a cumprir 45% de compra da agricultura familiar e 80% de alimentos in natura</t>
  </si>
  <si>
    <t xml:space="preserve">58-59</t>
  </si>
  <si>
    <t xml:space="preserve">45% e 80%</t>
  </si>
  <si>
    <t xml:space="preserve">Percentuais já elevados em lei</t>
  </si>
  <si>
    <t xml:space="preserve">FNDE</t>
  </si>
  <si>
    <t xml:space="preserve">P194</t>
  </si>
  <si>
    <t xml:space="preserve">Alimentação saudável</t>
  </si>
  <si>
    <t xml:space="preserve">Manter regras de publicidade e usar o Imposto Seletivo contra produtos nocivos</t>
  </si>
  <si>
    <t xml:space="preserve">59</t>
  </si>
  <si>
    <t xml:space="preserve">P195</t>
  </si>
  <si>
    <t xml:space="preserve">Agricultura familiar</t>
  </si>
  <si>
    <t xml:space="preserve">Expandir o Plano Safra da Agricultura Familiar com prioridade à cesta básica</t>
  </si>
  <si>
    <t xml:space="preserve">MDA</t>
  </si>
  <si>
    <t xml:space="preserve">P196</t>
  </si>
  <si>
    <t xml:space="preserve">Reforçar crédito para agroecologia, orgânicos, jovens, mulheres e cooperativas</t>
  </si>
  <si>
    <t xml:space="preserve">P197</t>
  </si>
  <si>
    <t xml:space="preserve">Simplificar acesso ao crédito com soluções digitais (Meu Imóvel Rural)</t>
  </si>
  <si>
    <t xml:space="preserve">P198</t>
  </si>
  <si>
    <t xml:space="preserve">Manter a ampliação do PAA</t>
  </si>
  <si>
    <t xml:space="preserve">59-60</t>
  </si>
  <si>
    <t xml:space="preserve">P199</t>
  </si>
  <si>
    <t xml:space="preserve">Ampliar oferta de assistência técnica e extensão rural (ATER)</t>
  </si>
  <si>
    <t xml:space="preserve">60</t>
  </si>
  <si>
    <t xml:space="preserve">P200</t>
  </si>
  <si>
    <t xml:space="preserve">Fortalecer Mais Alimentos, Garantia-Safra e seguro rural da agricultura familiar</t>
  </si>
  <si>
    <t xml:space="preserve">P201</t>
  </si>
  <si>
    <t xml:space="preserve">Agroecologia</t>
  </si>
  <si>
    <t xml:space="preserve">Avançar o PLANAPO, florestas produtivas, agroflorestas e bioinsumos</t>
  </si>
  <si>
    <t xml:space="preserve">P202</t>
  </si>
  <si>
    <t xml:space="preserve">Reforma agrária</t>
  </si>
  <si>
    <t xml:space="preserve">Assentar famílias acampadas, estruturar assentamentos e ampliar crédito fundiário</t>
  </si>
  <si>
    <t xml:space="preserve">Incra</t>
  </si>
  <si>
    <t xml:space="preserve">P203</t>
  </si>
  <si>
    <t xml:space="preserve">Acelerar regularização fundiária (Norte) e titulação quilombola</t>
  </si>
  <si>
    <t xml:space="preserve">P204</t>
  </si>
  <si>
    <t xml:space="preserve">Campo</t>
  </si>
  <si>
    <t xml:space="preserve">Ampliar o PRONERA (ensino técnico e superior no campo)</t>
  </si>
  <si>
    <t xml:space="preserve">P205</t>
  </si>
  <si>
    <t xml:space="preserve">Universalizar acesso a água potável; saneamento rural; ampliar o Programa Cisternas</t>
  </si>
  <si>
    <t xml:space="preserve">P206</t>
  </si>
  <si>
    <t xml:space="preserve">Universalizar energia elétrica no campo, priorizando fontes renováveis</t>
  </si>
  <si>
    <t xml:space="preserve">60-61</t>
  </si>
  <si>
    <t xml:space="preserve">Universalização</t>
  </si>
  <si>
    <t xml:space="preserve">MME (Luz para Todos)</t>
  </si>
  <si>
    <t xml:space="preserve">P207</t>
  </si>
  <si>
    <t xml:space="preserve">Fortalecer prevenção e combate à violência no campo</t>
  </si>
  <si>
    <t xml:space="preserve">61</t>
  </si>
  <si>
    <t xml:space="preserve">P208</t>
  </si>
  <si>
    <t xml:space="preserve">Pesca</t>
  </si>
  <si>
    <t xml:space="preserve">Fomentar pesca artesanal e aquicultura familiar (PNPA)</t>
  </si>
  <si>
    <t xml:space="preserve">P209</t>
  </si>
  <si>
    <t xml:space="preserve">Agronegócio</t>
  </si>
  <si>
    <t xml:space="preserve">Fortalecer o crédito rural e ampliar recursos do Plano Safra</t>
  </si>
  <si>
    <t xml:space="preserve">MAPA</t>
  </si>
  <si>
    <t xml:space="preserve">P210</t>
  </si>
  <si>
    <t xml:space="preserve">Implementar programa nacional de resiliência climática no campo</t>
  </si>
  <si>
    <t xml:space="preserve">P211</t>
  </si>
  <si>
    <t xml:space="preserve">Fomentar sistemas integrados (ILPF)</t>
  </si>
  <si>
    <t xml:space="preserve">61-62</t>
  </si>
  <si>
    <t xml:space="preserve">P212</t>
  </si>
  <si>
    <t xml:space="preserve">Criar instrumento contra perdas sistêmicas de safra e fortalecer o seguro rural</t>
  </si>
  <si>
    <t xml:space="preserve">62</t>
  </si>
  <si>
    <t xml:space="preserve">P213</t>
  </si>
  <si>
    <t xml:space="preserve">Fortalecer diplomacia comercial agrícola e adidos agrícolas</t>
  </si>
  <si>
    <t xml:space="preserve">656 novos mercados abertos</t>
  </si>
  <si>
    <t xml:space="preserve">P214</t>
  </si>
  <si>
    <t xml:space="preserve">Pecuária</t>
  </si>
  <si>
    <t xml:space="preserve">Recuperar pastagens degradadas e apoiar melhoramento genético e nutrição de precisão</t>
  </si>
  <si>
    <t xml:space="preserve">P215</t>
  </si>
  <si>
    <t xml:space="preserve">Apoiar rastreabilidade individual do rebanho</t>
  </si>
  <si>
    <t xml:space="preserve">P216</t>
  </si>
  <si>
    <t xml:space="preserve">Pesquisa agro</t>
  </si>
  <si>
    <t xml:space="preserve">Fortalecer a Embrapa e a conectividade no meio rural</t>
  </si>
  <si>
    <t xml:space="preserve">P217</t>
  </si>
  <si>
    <t xml:space="preserve">Bioenergia</t>
  </si>
  <si>
    <t xml:space="preserve">Ampliar biocombustíveis (etanol, biodiesel, SAF), bioenergia e biogás</t>
  </si>
  <si>
    <t xml:space="preserve">63</t>
  </si>
  <si>
    <t xml:space="preserve">P218</t>
  </si>
  <si>
    <t xml:space="preserve">Fertilizantes</t>
  </si>
  <si>
    <t xml:space="preserve">Acelerar produção nacional de fertilizantes</t>
  </si>
  <si>
    <t xml:space="preserve">Petrobras retomou 3 unidades</t>
  </si>
  <si>
    <t xml:space="preserve">Petrobras</t>
  </si>
  <si>
    <t xml:space="preserve">P219</t>
  </si>
  <si>
    <t xml:space="preserve">10. Energia</t>
  </si>
  <si>
    <t xml:space="preserve">Estratégia</t>
  </si>
  <si>
    <t xml:space="preserve">Garantir segurança energética, transição justa e combate à pobreza energética</t>
  </si>
  <si>
    <t xml:space="preserve">64</t>
  </si>
  <si>
    <t xml:space="preserve">Novo PAC: R$ 595 bi em energia</t>
  </si>
  <si>
    <t xml:space="preserve">P220</t>
  </si>
  <si>
    <t xml:space="preserve">Renováveis</t>
  </si>
  <si>
    <t xml:space="preserve">Ampliar renováveis e armazenamento; substituir combustíveis fósseis por biocombustíveis</t>
  </si>
  <si>
    <t xml:space="preserve">89% de renováveis na matriz elétrica</t>
  </si>
  <si>
    <t xml:space="preserve">EPE / ONS</t>
  </si>
  <si>
    <t xml:space="preserve">P221</t>
  </si>
  <si>
    <t xml:space="preserve">Neoindustrialização</t>
  </si>
  <si>
    <t xml:space="preserve">Cadeias de baterias, hidrogênio, petroquímica verde, fertilizantes e reatores modulares</t>
  </si>
  <si>
    <t xml:space="preserve">P222</t>
  </si>
  <si>
    <t xml:space="preserve">Transporte</t>
  </si>
  <si>
    <t xml:space="preserve">Fomentar eletrificação de ônibus e expansão de trens e metrô</t>
  </si>
  <si>
    <t xml:space="preserve">P223</t>
  </si>
  <si>
    <t xml:space="preserve">Transmissão</t>
  </si>
  <si>
    <t xml:space="preserve">Continuar leilões de transmissão e abrir fronteira de baterias</t>
  </si>
  <si>
    <t xml:space="preserve">65</t>
  </si>
  <si>
    <t xml:space="preserve">21.847 km contratados</t>
  </si>
  <si>
    <t xml:space="preserve">Aneel</t>
  </si>
  <si>
    <t xml:space="preserve">P224</t>
  </si>
  <si>
    <t xml:space="preserve">Pobreza energética</t>
  </si>
  <si>
    <t xml:space="preserve">Continuar Luz do Povo (tarifa social) e Luz para Todos</t>
  </si>
  <si>
    <t xml:space="preserve">Mais de 60 mi de pessoas alcançadas</t>
  </si>
  <si>
    <t xml:space="preserve">MME</t>
  </si>
  <si>
    <t xml:space="preserve">P225</t>
  </si>
  <si>
    <t xml:space="preserve">Hidrelétricas</t>
  </si>
  <si>
    <t xml:space="preserve">Expandir hidro por critérios socioambientais, repotenciar usinas e reduzir carvão</t>
  </si>
  <si>
    <t xml:space="preserve">P226</t>
  </si>
  <si>
    <t xml:space="preserve">Tarifas</t>
  </si>
  <si>
    <t xml:space="preserve">Promover debate sobre barateamento da energia elétrica</t>
  </si>
  <si>
    <t xml:space="preserve">65-66</t>
  </si>
  <si>
    <t xml:space="preserve">P227</t>
  </si>
  <si>
    <t xml:space="preserve">Combustíveis</t>
  </si>
  <si>
    <t xml:space="preserve">Mitigar volatilidade de preços e manter o Gás do Povo</t>
  </si>
  <si>
    <t xml:space="preserve">66</t>
  </si>
  <si>
    <t xml:space="preserve">Mais de 15 mi de famílias</t>
  </si>
  <si>
    <t xml:space="preserve">MME / MDS</t>
  </si>
  <si>
    <t xml:space="preserve">P228</t>
  </si>
  <si>
    <t xml:space="preserve">Gás natural</t>
  </si>
  <si>
    <t xml:space="preserve">Expandir e integrar a infraestrutura de gás natural</t>
  </si>
  <si>
    <t xml:space="preserve">66-67</t>
  </si>
  <si>
    <t xml:space="preserve">P229</t>
  </si>
  <si>
    <t xml:space="preserve">Ampliar exploração, retornar à distribuição de combustíveis, expandir refino e logística de GNL</t>
  </si>
  <si>
    <t xml:space="preserve">67</t>
  </si>
  <si>
    <t xml:space="preserve">P230</t>
  </si>
  <si>
    <t xml:space="preserve">Readequar o marco legal do REPETRO às necessidades de descarbonização</t>
  </si>
  <si>
    <t xml:space="preserve">P231</t>
  </si>
  <si>
    <t xml:space="preserve">Indústria naval</t>
  </si>
  <si>
    <t xml:space="preserve">Manter conteúdo local nas encomendas da Petrobras</t>
  </si>
  <si>
    <t xml:space="preserve">96 embarcações encomendadas</t>
  </si>
  <si>
    <t xml:space="preserve">P232</t>
  </si>
  <si>
    <t xml:space="preserve">Biocombustíveis</t>
  </si>
  <si>
    <t xml:space="preserve">Aprimorar o RenovaBio e fortalecer a Petrobras Biocombustíveis</t>
  </si>
  <si>
    <t xml:space="preserve">68</t>
  </si>
  <si>
    <t xml:space="preserve">E32 e B15 em vigor</t>
  </si>
  <si>
    <t xml:space="preserve">P233</t>
  </si>
  <si>
    <t xml:space="preserve">Expandir SAF, biometano e combustíveis marítimos</t>
  </si>
  <si>
    <t xml:space="preserve">P234</t>
  </si>
  <si>
    <t xml:space="preserve">Nuclear</t>
  </si>
  <si>
    <t xml:space="preserve">Preservar competência nuclear de uso pacífico e avançar na autonomia do ciclo do combustível</t>
  </si>
  <si>
    <t xml:space="preserve">P235</t>
  </si>
  <si>
    <t xml:space="preserve">11. Ambiente e clima</t>
  </si>
  <si>
    <t xml:space="preserve">Desmatamento</t>
  </si>
  <si>
    <t xml:space="preserve">Alcançar desmatamento líquido zero até 2030</t>
  </si>
  <si>
    <t xml:space="preserve">70</t>
  </si>
  <si>
    <t xml:space="preserve">Zero até 2030</t>
  </si>
  <si>
    <t xml:space="preserve">Menor taxa da história na Amazônia no mandato</t>
  </si>
  <si>
    <t xml:space="preserve">Inpe (Prodes / Deter)</t>
  </si>
  <si>
    <t xml:space="preserve">P236</t>
  </si>
  <si>
    <t xml:space="preserve">Fogo</t>
  </si>
  <si>
    <t xml:space="preserve">Implementar plenamente o Plano Nacional de Manejo Integrado do Fogo</t>
  </si>
  <si>
    <t xml:space="preserve">P237</t>
  </si>
  <si>
    <t xml:space="preserve">Florestas</t>
  </si>
  <si>
    <t xml:space="preserve">Assegurar efetividade do Código Florestal e da Lei da Mata Atlântica</t>
  </si>
  <si>
    <t xml:space="preserve">P238</t>
  </si>
  <si>
    <t xml:space="preserve">Terras públicas</t>
  </si>
  <si>
    <t xml:space="preserve">Destinar terras públicas a UCs, territórios indígenas, quilombolas ou assentamentos</t>
  </si>
  <si>
    <t xml:space="preserve">P239</t>
  </si>
  <si>
    <t xml:space="preserve">Clima</t>
  </si>
  <si>
    <t xml:space="preserve">Contribuir para o mapa do caminho global de eliminação do desmatamento</t>
  </si>
  <si>
    <t xml:space="preserve">71</t>
  </si>
  <si>
    <t xml:space="preserve">P240</t>
  </si>
  <si>
    <t xml:space="preserve">Cumprir a nova NDC (redução de 59% a 67% das emissões até 2035 vs. 2005)</t>
  </si>
  <si>
    <t xml:space="preserve">-59% a -67% até 2035</t>
  </si>
  <si>
    <t xml:space="preserve">NDC entregue na COP29</t>
  </si>
  <si>
    <t xml:space="preserve">SEEG / MMA</t>
  </si>
  <si>
    <t xml:space="preserve">P241</t>
  </si>
  <si>
    <t xml:space="preserve">Participar do debate sobre mapa do caminho para longe dos combustíveis fósseis</t>
  </si>
  <si>
    <t xml:space="preserve">P242</t>
  </si>
  <si>
    <t xml:space="preserve">Financiamento climático</t>
  </si>
  <si>
    <t xml:space="preserve">Manter Fundo Clima e Eco Invest; implementar governança do TFFF</t>
  </si>
  <si>
    <t xml:space="preserve">R$ 179 bi mobilizados desde 2023</t>
  </si>
  <si>
    <t xml:space="preserve">BNDES / MMA</t>
  </si>
  <si>
    <t xml:space="preserve">P243</t>
  </si>
  <si>
    <t xml:space="preserve">Fortalecer arranjos regionais de planejamento climático</t>
  </si>
  <si>
    <t xml:space="preserve">P244</t>
  </si>
  <si>
    <t xml:space="preserve">Biodiversidade</t>
  </si>
  <si>
    <t xml:space="preserve">Incentivar RPPNs e valorizar os 75 parques nacionais</t>
  </si>
  <si>
    <t xml:space="preserve">P245</t>
  </si>
  <si>
    <t xml:space="preserve">Direitos animais</t>
  </si>
  <si>
    <t xml:space="preserve">Ampliar o ProPatinhas e manter o SinPatinhas</t>
  </si>
  <si>
    <t xml:space="preserve">Meta de 675 mil castrações até 2026</t>
  </si>
  <si>
    <t xml:space="preserve">P246</t>
  </si>
  <si>
    <t xml:space="preserve">Realizar a Conferência Nacional de Direitos dos Animais (2028) e combater maus-tratos</t>
  </si>
  <si>
    <t xml:space="preserve">71-72</t>
  </si>
  <si>
    <t xml:space="preserve">P247</t>
  </si>
  <si>
    <t xml:space="preserve">Aprimorar PSA e reconhecer legalmente a restauração biocultural</t>
  </si>
  <si>
    <t xml:space="preserve">72</t>
  </si>
  <si>
    <t xml:space="preserve">P248</t>
  </si>
  <si>
    <t xml:space="preserve">Semiárido</t>
  </si>
  <si>
    <t xml:space="preserve">Incluir a Caatinga como ativo estratégico e criar financiamento climático para o Semiárido</t>
  </si>
  <si>
    <t xml:space="preserve">P249</t>
  </si>
  <si>
    <t xml:space="preserve">Fiscalização</t>
  </si>
  <si>
    <t xml:space="preserve">Fortalecer fiscalização, rastreabilidade e monitoramento por satélite e IA</t>
  </si>
  <si>
    <t xml:space="preserve">Ibama</t>
  </si>
  <si>
    <t xml:space="preserve">P250</t>
  </si>
  <si>
    <t xml:space="preserve">Água</t>
  </si>
  <si>
    <t xml:space="preserve">Revitalizar bacias e ampliar infraestrutura de segurança hídrica</t>
  </si>
  <si>
    <t xml:space="preserve">R$ 15 bi no Novo PAC</t>
  </si>
  <si>
    <t xml:space="preserve">P251</t>
  </si>
  <si>
    <t xml:space="preserve">Desastres</t>
  </si>
  <si>
    <t xml:space="preserve">Ampliar prevenção e redução de riscos de desastres</t>
  </si>
  <si>
    <t xml:space="preserve">P252</t>
  </si>
  <si>
    <t xml:space="preserve">Adaptação</t>
  </si>
  <si>
    <t xml:space="preserve">Institucionalizar a adaptação climática e estimular planos locais de calor extremo</t>
  </si>
  <si>
    <t xml:space="preserve">72-73</t>
  </si>
  <si>
    <t xml:space="preserve">P253</t>
  </si>
  <si>
    <t xml:space="preserve">12. Trabalho e previdência</t>
  </si>
  <si>
    <t xml:space="preserve">Salário mínimo</t>
  </si>
  <si>
    <t xml:space="preserve">Manter a política de valorização do salário mínimo com ganho real</t>
  </si>
  <si>
    <t xml:space="preserve">74</t>
  </si>
  <si>
    <t xml:space="preserve">Ministério do Trabalho</t>
  </si>
  <si>
    <t xml:space="preserve">P254</t>
  </si>
  <si>
    <t xml:space="preserve">Emprego</t>
  </si>
  <si>
    <t xml:space="preserve">Integrar crédito, compras públicas e incentivos a compromissos de emprego de qualidade</t>
  </si>
  <si>
    <t xml:space="preserve">P255</t>
  </si>
  <si>
    <t xml:space="preserve">Fortalecer o Sistema Público de Emprego, Trabalho e Renda e a qualificação</t>
  </si>
  <si>
    <t xml:space="preserve">P256</t>
  </si>
  <si>
    <t xml:space="preserve">Expandir a Plataforma Pública Nacional de Empregabilidade com IA</t>
  </si>
  <si>
    <t xml:space="preserve">P257</t>
  </si>
  <si>
    <t xml:space="preserve">Criar ocupações sociais em atividades de interesse coletivo</t>
  </si>
  <si>
    <t xml:space="preserve">P258</t>
  </si>
  <si>
    <t xml:space="preserve">Proteção trabalhista</t>
  </si>
  <si>
    <t xml:space="preserve">Combater a pejotização espúria</t>
  </si>
  <si>
    <t xml:space="preserve">P259</t>
  </si>
  <si>
    <t xml:space="preserve">Plataformas</t>
  </si>
  <si>
    <t xml:space="preserve">Estabelecer sistema de proteção a trabalhadores de plataformas</t>
  </si>
  <si>
    <t xml:space="preserve">74-75</t>
  </si>
  <si>
    <t xml:space="preserve">P260</t>
  </si>
  <si>
    <t xml:space="preserve">Jornada</t>
  </si>
  <si>
    <t xml:space="preserve">Fim da escala 6x1 e jornada de 40 horas sem redução salarial</t>
  </si>
  <si>
    <t xml:space="preserve">75</t>
  </si>
  <si>
    <t xml:space="preserve">40 horas</t>
  </si>
  <si>
    <t xml:space="preserve">Aprovado na Câmara; pendente no Senado</t>
  </si>
  <si>
    <t xml:space="preserve">Senado (tramitação)</t>
  </si>
  <si>
    <t xml:space="preserve">P261</t>
  </si>
  <si>
    <t xml:space="preserve">Legislação</t>
  </si>
  <si>
    <t xml:space="preserve">Aprimorar legislação trabalhista (terceirização, assistência sindical em rescisões)</t>
  </si>
  <si>
    <t xml:space="preserve">P262</t>
  </si>
  <si>
    <t xml:space="preserve">Inclusão</t>
  </si>
  <si>
    <t xml:space="preserve">Seguir com inclusão produtiva de pessoas com deficiência</t>
  </si>
  <si>
    <t xml:space="preserve">P263</t>
  </si>
  <si>
    <t xml:space="preserve">Direitos</t>
  </si>
  <si>
    <t xml:space="preserve">Erradicar trabalho análogo ao escravo e trabalho infantil</t>
  </si>
  <si>
    <t xml:space="preserve">P264</t>
  </si>
  <si>
    <t xml:space="preserve">Igualdade salarial</t>
  </si>
  <si>
    <t xml:space="preserve">Tornar obrigatórios os Planos de Ação das empresas com desigualdade salarial</t>
  </si>
  <si>
    <t xml:space="preserve">P265</t>
  </si>
  <si>
    <t xml:space="preserve">Discriminação</t>
  </si>
  <si>
    <t xml:space="preserve">Combater xenofobia, capacitismo e discriminações no trabalho</t>
  </si>
  <si>
    <t xml:space="preserve">P266</t>
  </si>
  <si>
    <t xml:space="preserve">Economia solidária</t>
  </si>
  <si>
    <t xml:space="preserve">Fortalecer a economia popular e solidária (cooperativas, redes, crédito)</t>
  </si>
  <si>
    <t xml:space="preserve">75-76</t>
  </si>
  <si>
    <t xml:space="preserve">P267</t>
  </si>
  <si>
    <t xml:space="preserve">Autônomos</t>
  </si>
  <si>
    <t xml:space="preserve">Ampliar políticas para trabalhadores autônomos e pequenos empreendedores</t>
  </si>
  <si>
    <t xml:space="preserve">76</t>
  </si>
  <si>
    <t xml:space="preserve">P268</t>
  </si>
  <si>
    <t xml:space="preserve">Negociação coletiva</t>
  </si>
  <si>
    <t xml:space="preserve">Fortalecer negociação coletiva e atualizar o sistema sindical</t>
  </si>
  <si>
    <t xml:space="preserve">P269</t>
  </si>
  <si>
    <t xml:space="preserve">Regulamentar a negociação coletiva no setor público</t>
  </si>
  <si>
    <t xml:space="preserve">P270</t>
  </si>
  <si>
    <t xml:space="preserve">Previdência</t>
  </si>
  <si>
    <t xml:space="preserve">Concluir modernização dos serviços previdenciários e reduzir filas do INSS</t>
  </si>
  <si>
    <t xml:space="preserve">77</t>
  </si>
  <si>
    <t xml:space="preserve">INSS</t>
  </si>
  <si>
    <t xml:space="preserve">P271</t>
  </si>
  <si>
    <t xml:space="preserve">Reestruturar financiamento e criar mecanismos contributivos mais flexíveis</t>
  </si>
  <si>
    <t xml:space="preserve">P272</t>
  </si>
  <si>
    <t xml:space="preserve">Incluir financiamento previdenciário no trabalho por plataformas</t>
  </si>
  <si>
    <t xml:space="preserve">P273</t>
  </si>
  <si>
    <t xml:space="preserve">13. Soberania e política externa</t>
  </si>
  <si>
    <t xml:space="preserve">Defesa</t>
  </si>
  <si>
    <t xml:space="preserve">Fortalecer a Base Industrial e Tecnológica de Defesa</t>
  </si>
  <si>
    <t xml:space="preserve">78</t>
  </si>
  <si>
    <t xml:space="preserve">R$ 20,4 bi executados desde 2023</t>
  </si>
  <si>
    <t xml:space="preserve">Ministério da Defesa</t>
  </si>
  <si>
    <t xml:space="preserve">P274</t>
  </si>
  <si>
    <t xml:space="preserve">Garantir orçamento e previsibilidade para investimentos em defesa</t>
  </si>
  <si>
    <t xml:space="preserve">P275</t>
  </si>
  <si>
    <t xml:space="preserve">Reforçar a defesa cibernética</t>
  </si>
  <si>
    <t xml:space="preserve">79</t>
  </si>
  <si>
    <t xml:space="preserve">P276</t>
  </si>
  <si>
    <t xml:space="preserve">Fortalecer a Inteligência de Estado em caráter civil</t>
  </si>
  <si>
    <t xml:space="preserve">P277</t>
  </si>
  <si>
    <t xml:space="preserve">Fronteiras</t>
  </si>
  <si>
    <t xml:space="preserve">Proteger fronteiras, a Amazônia e a Amazônia Azul</t>
  </si>
  <si>
    <t xml:space="preserve">P278</t>
  </si>
  <si>
    <t xml:space="preserve">Integração regional</t>
  </si>
  <si>
    <t xml:space="preserve">Aprofundar Mercosul e integração sul-americana; mercado comum de energia</t>
  </si>
  <si>
    <t xml:space="preserve">80</t>
  </si>
  <si>
    <t xml:space="preserve">P279</t>
  </si>
  <si>
    <t xml:space="preserve">Fortalecer a OTCA em bioeconomia, ciência e combate a ilícitos</t>
  </si>
  <si>
    <t xml:space="preserve">P280</t>
  </si>
  <si>
    <t xml:space="preserve">Comércio</t>
  </si>
  <si>
    <t xml:space="preserve">Investir em novos acordos comerciais e abertura de mercados</t>
  </si>
  <si>
    <t xml:space="preserve">656 mercados abertos</t>
  </si>
  <si>
    <t xml:space="preserve">P281</t>
  </si>
  <si>
    <t xml:space="preserve">Parcerias</t>
  </si>
  <si>
    <t xml:space="preserve">Aprofundar relações com a África (CPLP, União Africana, ASEAN)</t>
  </si>
  <si>
    <t xml:space="preserve">80-81</t>
  </si>
  <si>
    <t xml:space="preserve">P282</t>
  </si>
  <si>
    <t xml:space="preserve">Reaproximar com Ásia, Oriente Médio e Europa</t>
  </si>
  <si>
    <t xml:space="preserve">81</t>
  </si>
  <si>
    <t xml:space="preserve">P283</t>
  </si>
  <si>
    <t xml:space="preserve">Multilateralismo</t>
  </si>
  <si>
    <t xml:space="preserve">Reforma do Conselho de Segurança da ONU, da OMC e da arquitetura financeira internacional</t>
  </si>
  <si>
    <t xml:space="preserve">P284</t>
  </si>
  <si>
    <t xml:space="preserve">Aprofundar BRICS, G20 e Cooperação Sul-Sul</t>
  </si>
  <si>
    <t xml:space="preserve">P285</t>
  </si>
  <si>
    <t xml:space="preserve">Acelerar os ODS e negociar a agenda pós-2030</t>
  </si>
  <si>
    <t xml:space="preserve">P286</t>
  </si>
  <si>
    <t xml:space="preserve">Priorizar a Aliança Global contra a Fome e a Pobreza e o TFFF</t>
  </si>
  <si>
    <t xml:space="preserve">P287</t>
  </si>
  <si>
    <t xml:space="preserve">Tecnologia</t>
  </si>
  <si>
    <t xml:space="preserve">Liderar governança internacional de tecnologias digitais e IA</t>
  </si>
  <si>
    <t xml:space="preserve">81-82</t>
  </si>
  <si>
    <t xml:space="preserve">P288</t>
  </si>
  <si>
    <t xml:space="preserve">Direitos humanos</t>
  </si>
  <si>
    <t xml:space="preserve">Reforçar compromissos internacionais de direitos humanos, gênero e raça</t>
  </si>
  <si>
    <t xml:space="preserve">82</t>
  </si>
  <si>
    <t xml:space="preserve">P289</t>
  </si>
  <si>
    <t xml:space="preserve">Brasileiros no exterior</t>
  </si>
  <si>
    <t xml:space="preserve">Fortalecer proteção consular e participação da diáspora</t>
  </si>
  <si>
    <t xml:space="preserve">Diretriz nº (PDF 2022)</t>
  </si>
  <si>
    <t xml:space="preserve">Pág. (PDF 2022)</t>
  </si>
  <si>
    <t xml:space="preserve">Eixo (mesmos 13 de 2027)</t>
  </si>
  <si>
    <t xml:space="preserve">Compromisso de 2022 (resumo)</t>
  </si>
  <si>
    <t xml:space="preserve">Evidência</t>
  </si>
  <si>
    <t xml:space="preserve">Fonte (nome)</t>
  </si>
  <si>
    <t xml:space="preserve">Classe da fonte</t>
  </si>
  <si>
    <t xml:space="preserve">Link da fonte</t>
  </si>
  <si>
    <t xml:space="preserve">Data do fato ou da fonte</t>
  </si>
  <si>
    <t xml:space="preserve">Consultado em</t>
  </si>
  <si>
    <t xml:space="preserve">H099</t>
  </si>
  <si>
    <t xml:space="preserve">99</t>
  </si>
  <si>
    <t xml:space="preserve">Direitos civis</t>
  </si>
  <si>
    <t xml:space="preserve">Defender direitos civis, liberdade religiosa e combater a intolerância</t>
  </si>
  <si>
    <t xml:space="preserve">Sem dados</t>
  </si>
  <si>
    <t xml:space="preserve">Ainda sem pesquisa de fonte; entra na próxima rodada.</t>
  </si>
  <si>
    <t xml:space="preserve">26/10/2026</t>
  </si>
  <si>
    <t xml:space="preserve">H106</t>
  </si>
  <si>
    <t xml:space="preserve">106</t>
  </si>
  <si>
    <t xml:space="preserve">Retomar o diálogo com movimentos sociais e sociedade civil</t>
  </si>
  <si>
    <t xml:space="preserve">H107</t>
  </si>
  <si>
    <t xml:space="preserve">107</t>
  </si>
  <si>
    <t xml:space="preserve">Reforma política que fortaleça a democracia representativa e participativa</t>
  </si>
  <si>
    <t xml:space="preserve">Pesquisado nesta rodada sem fonte consolidada.</t>
  </si>
  <si>
    <t xml:space="preserve">H108</t>
  </si>
  <si>
    <t xml:space="preserve">108</t>
  </si>
  <si>
    <t xml:space="preserve">Restaurar as instâncias de participação social extintas</t>
  </si>
  <si>
    <t xml:space="preserve">Concluída</t>
  </si>
  <si>
    <t xml:space="preserve">Decreto 11.406/2023 instituiu o Conselho de Participação Social; o Decreto 11.407/2023 instituiu o Sistema de Participação Social.</t>
  </si>
  <si>
    <t xml:space="preserve">Planalto - Decreto 11.406</t>
  </si>
  <si>
    <t xml:space="preserve">Oficial</t>
  </si>
  <si>
    <t xml:space="preserve">https://www.planalto.gov.br/ccivil_03/_ato2023-2026/2023/decreto/D11406.htm</t>
  </si>
  <si>
    <t xml:space="preserve">31/01/2023</t>
  </si>
  <si>
    <t xml:space="preserve">H109</t>
  </si>
  <si>
    <t xml:space="preserve">109</t>
  </si>
  <si>
    <t xml:space="preserve">Criar novas instâncias de participação direta, inclusive no orçamento federal</t>
  </si>
  <si>
    <t xml:space="preserve">H110</t>
  </si>
  <si>
    <t xml:space="preserve">110</t>
  </si>
  <si>
    <t xml:space="preserve">Fortalecer o federalismo e o apoio a estados e municípios</t>
  </si>
  <si>
    <t xml:space="preserve">H111</t>
  </si>
  <si>
    <t xml:space="preserve">111</t>
  </si>
  <si>
    <t xml:space="preserve">Política de prevenção e combate à corrupção e de transparência</t>
  </si>
  <si>
    <t xml:space="preserve">H113</t>
  </si>
  <si>
    <t xml:space="preserve">113</t>
  </si>
  <si>
    <t xml:space="preserve">Reabrir o governo e garantir o cumprimento da Lei de Acesso à Informação</t>
  </si>
  <si>
    <t xml:space="preserve">H115</t>
  </si>
  <si>
    <t xml:space="preserve">115</t>
  </si>
  <si>
    <t xml:space="preserve">Estado</t>
  </si>
  <si>
    <t xml:space="preserve">Reforma do Estado com mais transparência nos processos decisórios</t>
  </si>
  <si>
    <t xml:space="preserve">H116</t>
  </si>
  <si>
    <t xml:space="preserve">116</t>
  </si>
  <si>
    <t xml:space="preserve">Retomar a valorização dos servidores públicos</t>
  </si>
  <si>
    <t xml:space="preserve">H118</t>
  </si>
  <si>
    <t xml:space="preserve">118</t>
  </si>
  <si>
    <t xml:space="preserve">Comunicação</t>
  </si>
  <si>
    <t xml:space="preserve">Regulamentar mecanismos de pluralidade e democratização da comunicação</t>
  </si>
  <si>
    <t xml:space="preserve">H119</t>
  </si>
  <si>
    <t xml:space="preserve">119</t>
  </si>
  <si>
    <t xml:space="preserve">Fortalecer a legislação sobre plataformas digitais</t>
  </si>
  <si>
    <t xml:space="preserve">STF reinterpretou o art. 19 do Marco Civil da Internet em 2025; não localizei lei específica de regulação aprovada.</t>
  </si>
  <si>
    <t xml:space="preserve">Migalhas (artigo)</t>
  </si>
  <si>
    <t xml:space="preserve">Imprensa</t>
  </si>
  <si>
    <t xml:space="preserve">https://www.migalhas.com.br/depeso/444149/stf-publica-acordao-com-releitura-do-art-19-do-marco-civil-da-internet</t>
  </si>
  <si>
    <t xml:space="preserve">s/d</t>
  </si>
  <si>
    <t xml:space="preserve">H120</t>
  </si>
  <si>
    <t xml:space="preserve">120</t>
  </si>
  <si>
    <t xml:space="preserve">Garantir segurança do jornalismo e punir a violência contra jornalistas</t>
  </si>
  <si>
    <t xml:space="preserve">H019</t>
  </si>
  <si>
    <t xml:space="preserve">Reconstruir e fortalecer o SUAS e a inclusão produtiva</t>
  </si>
  <si>
    <t xml:space="preserve">H020</t>
  </si>
  <si>
    <t xml:space="preserve">Bolsa Família renovado e ampliado</t>
  </si>
  <si>
    <t xml:space="preserve">Lei 14.601/2023 instituiu o novo Programa Bolsa Família.</t>
  </si>
  <si>
    <t xml:space="preserve">Senado Federal - Legislação</t>
  </si>
  <si>
    <t xml:space="preserve">https://legis.senado.leg.br/norma/37200398/publicacao/37206268</t>
  </si>
  <si>
    <t xml:space="preserve">19/06/2023</t>
  </si>
  <si>
    <t xml:space="preserve">H036</t>
  </si>
  <si>
    <t xml:space="preserve">Salários iguais para trabalhos iguais</t>
  </si>
  <si>
    <t xml:space="preserve">Lei 14.611/2023 dispõe sobre igualdade salarial e de critérios remuneratórios entre mulheres e homens.</t>
  </si>
  <si>
    <t xml:space="preserve">https://legis.senado.leg.br/norma/37349718/publicacao/37350224</t>
  </si>
  <si>
    <t xml:space="preserve">03/07/2023</t>
  </si>
  <si>
    <t xml:space="preserve">H037</t>
  </si>
  <si>
    <t xml:space="preserve">Combater a violência contra a mulher e a impunidade de feminicídios</t>
  </si>
  <si>
    <t xml:space="preserve">Lei 14.994/2024 (pacote antifeminicídio) endureceu penas; reportagem registra as primeiras condenações. Sem fonte oficial localizada.</t>
  </si>
  <si>
    <t xml:space="preserve">Jovem Pan (coluna)</t>
  </si>
  <si>
    <t xml:space="preserve">https://jovempan.com.br/colunistas/bruno-pinheiro/pacote-antifeminicidio-completa-um-ano-com-primeiras-condenacoes-e-penas-mais-duras-em-todo-o-pais/</t>
  </si>
  <si>
    <t xml:space="preserve">H038</t>
  </si>
  <si>
    <t xml:space="preserve">Políticas de promoção da igualdade racial e combate ao racismo estrutural</t>
  </si>
  <si>
    <t xml:space="preserve">Lei 14.600/2023 reorganizou os ministérios e consolidou a estrutura da área; resultados das políticas ainda não aferidos.</t>
  </si>
  <si>
    <t xml:space="preserve">https://legis.senado.leg.br/norma/37200471</t>
  </si>
  <si>
    <t xml:space="preserve">H039</t>
  </si>
  <si>
    <t xml:space="preserve">Continuidade e ampliação das cotas sociais e raciais</t>
  </si>
  <si>
    <t xml:space="preserve">Lei 14.723/2023 atualizou a Lei de Cotas no ensino federal.</t>
  </si>
  <si>
    <t xml:space="preserve">Agência Senado</t>
  </si>
  <si>
    <t xml:space="preserve">https://www12.senado.leg.br/noticias/materias/2023/11/14/sancionada-ampliacao-da-lei-de-cotas</t>
  </si>
  <si>
    <t xml:space="preserve">14/11/2023</t>
  </si>
  <si>
    <t xml:space="preserve">H040</t>
  </si>
  <si>
    <t xml:space="preserve">40</t>
  </si>
  <si>
    <t xml:space="preserve">Assegurar a posse das terras indígenas</t>
  </si>
  <si>
    <t xml:space="preserve">Homologações retomadas no mandato (ex.: três terras no Ceará em ago/2025); processo de demarcação segue em curso.</t>
  </si>
  <si>
    <t xml:space="preserve">Agência Brasil (EBC)</t>
  </si>
  <si>
    <t xml:space="preserve">Agência pública</t>
  </si>
  <si>
    <t xml:space="preserve">https://agenciabrasil.ebc.com.br/direitos-humanos/noticia/2025-08/lula-homologa-tres-novas-terras-indigenas-no-ceara</t>
  </si>
  <si>
    <t xml:space="preserve">08/2025</t>
  </si>
  <si>
    <t xml:space="preserve">H041</t>
  </si>
  <si>
    <t xml:space="preserve">LGBTQIA+</t>
  </si>
  <si>
    <t xml:space="preserve">Políticas de direitos, combate à discriminação e saúde integral da população LGBTQIA+</t>
  </si>
  <si>
    <t xml:space="preserve">H042</t>
  </si>
  <si>
    <t xml:space="preserve">Oportunidades à juventude, com acesso à educação e permanência</t>
  </si>
  <si>
    <t xml:space="preserve">Lei 14.818/2024 instituiu o incentivo financeiro-educacional Pé-de-Meia; execução em curso.</t>
  </si>
  <si>
    <t xml:space="preserve">https://legis.senado.leg.br/norma/38165461</t>
  </si>
  <si>
    <t xml:space="preserve">16/01/2024</t>
  </si>
  <si>
    <t xml:space="preserve">H043</t>
  </si>
  <si>
    <t xml:space="preserve">Brasil inclusivo e acessível, com acesso a saúde, educação e trabalho</t>
  </si>
  <si>
    <t xml:space="preserve">Decreto 11.793/2023 instituiu o Plano Novo Viver sem Limite; execução em curso.</t>
  </si>
  <si>
    <t xml:space="preserve">https://legis.senado.leg.br/norma/37855201</t>
  </si>
  <si>
    <t xml:space="preserve">23/11/2023</t>
  </si>
  <si>
    <t xml:space="preserve">H044</t>
  </si>
  <si>
    <t xml:space="preserve">Infância</t>
  </si>
  <si>
    <t xml:space="preserve">Prioridade absoluta à criança e ao adolescente, com combate ao trabalho infantil</t>
  </si>
  <si>
    <t xml:space="preserve">H045</t>
  </si>
  <si>
    <t xml:space="preserve">Idosos</t>
  </si>
  <si>
    <t xml:space="preserve">Rede de cuidados e políticas para o envelhecimento ativo</t>
  </si>
  <si>
    <t xml:space="preserve">Lei 15.069/2024 instituiu a Política Nacional de Cuidados; implementação em curso.</t>
  </si>
  <si>
    <t xml:space="preserve">https://legis.senado.leg.br/norma/39993021/publicacao/40009222</t>
  </si>
  <si>
    <t xml:space="preserve">23/12/2024</t>
  </si>
  <si>
    <t xml:space="preserve">H046</t>
  </si>
  <si>
    <t xml:space="preserve">Animais</t>
  </si>
  <si>
    <t xml:space="preserve">Proteção e garantia dos direitos dos animais</t>
  </si>
  <si>
    <t xml:space="preserve">H031</t>
  </si>
  <si>
    <t xml:space="preserve">Segurança</t>
  </si>
  <si>
    <t xml:space="preserve">Política nacional integrada para reduzir homicídios e enfrentar o crime organizado e as milícias</t>
  </si>
  <si>
    <t xml:space="preserve">H032</t>
  </si>
  <si>
    <t xml:space="preserve">Aprimorar o Sistema Único de Segurança Pública e reformar as instituições</t>
  </si>
  <si>
    <t xml:space="preserve">PEC 18/2025 aprovada na Câmara (mar/2026); CCJ do Senado concluiu a análise em 14/10/2026 e o plenário tinha votação marcada para 15/10. Resultado não confirmado nesta rodada.</t>
  </si>
  <si>
    <t xml:space="preserve">DGABC (notícia)</t>
  </si>
  <si>
    <t xml:space="preserve">https://www.dgabc.com.br/Noticia/4352814/alcolumbre-anuncia-votacao-da-pec-da-seguranca-publica-para-esta-quinta-feira</t>
  </si>
  <si>
    <t xml:space="preserve">15/10/2026</t>
  </si>
  <si>
    <t xml:space="preserve">H033</t>
  </si>
  <si>
    <t xml:space="preserve">Valorizar o profissional de segurança pública</t>
  </si>
  <si>
    <t xml:space="preserve">H034</t>
  </si>
  <si>
    <t xml:space="preserve">Drogas</t>
  </si>
  <si>
    <t xml:space="preserve">Nova política sobre drogas focada em redução de riscos</t>
  </si>
  <si>
    <t xml:space="preserve">H035</t>
  </si>
  <si>
    <t xml:space="preserve">Melhorar a qualificação técnica dos policiais</t>
  </si>
  <si>
    <t xml:space="preserve">H021</t>
  </si>
  <si>
    <t xml:space="preserve">Plano Nacional de Educação</t>
  </si>
  <si>
    <t xml:space="preserve">Retomar as metas do Plano Nacional de Educação</t>
  </si>
  <si>
    <t xml:space="preserve">Novo PNE sancionado como Lei 15.388, de 14/04/2026 (PL 2614/2024); o cumprimento das metas ainda precisa ser aferido.</t>
  </si>
  <si>
    <t xml:space="preserve">Congresso Nacional - PL 2614/2024</t>
  </si>
  <si>
    <t xml:space="preserve">https://www.congressonacional.leg.br/web/atividade/materias/-/materia/172100</t>
  </si>
  <si>
    <t xml:space="preserve">14/04/2026</t>
  </si>
  <si>
    <t xml:space="preserve">H022</t>
  </si>
  <si>
    <t xml:space="preserve">Educação básica</t>
  </si>
  <si>
    <t xml:space="preserve">Fortalecer a educação pública universal e de qualidade</t>
  </si>
  <si>
    <t xml:space="preserve">Lei 14.640/2023 instituiu o Programa Escola em Tempo Integral; execução em curso.</t>
  </si>
  <si>
    <t xml:space="preserve">https://legis.senado.leg.br/norma/37435287</t>
  </si>
  <si>
    <t xml:space="preserve">31/07/2023</t>
  </si>
  <si>
    <t xml:space="preserve">H023</t>
  </si>
  <si>
    <t xml:space="preserve">SUS</t>
  </si>
  <si>
    <t xml:space="preserve">Dar condições ao SUS para retomar atendimento, tratar sequelas da covid-19 e retomar a vacinação</t>
  </si>
  <si>
    <t xml:space="preserve">H024</t>
  </si>
  <si>
    <t xml:space="preserve">Saúde</t>
  </si>
  <si>
    <t xml:space="preserve">Retomar o Mais Médicos</t>
  </si>
  <si>
    <t xml:space="preserve">Lei 14.621/2023 reestruturou o programa.</t>
  </si>
  <si>
    <t xml:space="preserve">https://legis.senado.leg.br/norma/37393603</t>
  </si>
  <si>
    <t xml:space="preserve">14/07/2023</t>
  </si>
  <si>
    <t xml:space="preserve">H024b</t>
  </si>
  <si>
    <t xml:space="preserve">24b</t>
  </si>
  <si>
    <t xml:space="preserve">Retomar o Farmácia Popular</t>
  </si>
  <si>
    <t xml:space="preserve">Em fev/2025 todos os medicamentos do programa passaram a ser gratuitos.</t>
  </si>
  <si>
    <t xml:space="preserve">Conselho Federal de Farmácia (notícia)</t>
  </si>
  <si>
    <t xml:space="preserve">https://site.cff.org.br/noticia/Noticias-gerais/13/02/2025/saude-anuncia-que-todos-os-medicamentos-do-farmacia-popular-agora-sao-gratuitos</t>
  </si>
  <si>
    <t xml:space="preserve">13/02/2025</t>
  </si>
  <si>
    <t xml:space="preserve">H025</t>
  </si>
  <si>
    <t xml:space="preserve">Fortalecer as instituições culturais e recompor o financiamento da cultura</t>
  </si>
  <si>
    <t xml:space="preserve">Lei 14.600/2023 reorganizou os ministérios, com a estrutura federal da cultura; recomposição do financiamento ainda não aferida.</t>
  </si>
  <si>
    <t xml:space="preserve">H026</t>
  </si>
  <si>
    <t xml:space="preserve">Implantar o Sistema Nacional de Cultura</t>
  </si>
  <si>
    <t xml:space="preserve">Lei 14.835/2024 instituiu o marco regulatório do SNC.</t>
  </si>
  <si>
    <t xml:space="preserve">https://legis.senado.leg.br/norma/38299941/publicacao/38300150</t>
  </si>
  <si>
    <t xml:space="preserve">04/04/2024</t>
  </si>
  <si>
    <t xml:space="preserve">H027</t>
  </si>
  <si>
    <t xml:space="preserve">Políticas universais de acesso ao esporte e ao lazer</t>
  </si>
  <si>
    <t xml:space="preserve">H028</t>
  </si>
  <si>
    <t xml:space="preserve">Fortalecer a gestão do Sistema Nacional de Esportes</t>
  </si>
  <si>
    <t xml:space="preserve">H086</t>
  </si>
  <si>
    <t xml:space="preserve">86</t>
  </si>
  <si>
    <t xml:space="preserve">Estimular a indústria do turismo e retomar investimentos em infraestrutura turística</t>
  </si>
  <si>
    <t xml:space="preserve">H029</t>
  </si>
  <si>
    <t xml:space="preserve">Retomar o direito à cidade, com reforma urbana e transporte público</t>
  </si>
  <si>
    <t xml:space="preserve">H030</t>
  </si>
  <si>
    <t xml:space="preserve">Moradia</t>
  </si>
  <si>
    <t xml:space="preserve">Amplo programa de acesso à moradia</t>
  </si>
  <si>
    <t xml:space="preserve">Lei 14.620/2023 relançou o Minha Casa, Minha Vida; imprensa registra 2 milhões de moradias contratadas, antecipando a meta de 2026.</t>
  </si>
  <si>
    <t xml:space="preserve">Senado Federal - Legislação (lei)</t>
  </si>
  <si>
    <t xml:space="preserve">https://legis.senado.leg.br/norma/37377355</t>
  </si>
  <si>
    <t xml:space="preserve">13/07/2023</t>
  </si>
  <si>
    <t xml:space="preserve">H074</t>
  </si>
  <si>
    <t xml:space="preserve">Universalizar o saneamento básico e garantir a atuação das empresas estatais</t>
  </si>
  <si>
    <t xml:space="preserve">Novos decretos do marco legal do saneamento foram editados em jul/2023 (Decreto 11.599); a universalização depende de contratos em curso.</t>
  </si>
  <si>
    <t xml:space="preserve">Câmara dos Deputados - Legislação</t>
  </si>
  <si>
    <t xml:space="preserve">https://www2.camara.leg.br/legin/fed/decret/2023/decreto-11599-12-julho-2023-794435-norma-pe.html</t>
  </si>
  <si>
    <t xml:space="preserve">12/07/2023</t>
  </si>
  <si>
    <t xml:space="preserve">H047</t>
  </si>
  <si>
    <t xml:space="preserve">Crescimento</t>
  </si>
  <si>
    <t xml:space="preserve">Retomar o crescimento, o emprego e a renda com estabilidade de preços</t>
  </si>
  <si>
    <t xml:space="preserve">H051</t>
  </si>
  <si>
    <t xml:space="preserve">Revogar o teto de gastos e criar um novo regime fiscal</t>
  </si>
  <si>
    <t xml:space="preserve">Lei Complementar 200/2023 instituiu o regime fiscal sustentável (arcabouço fiscal).</t>
  </si>
  <si>
    <t xml:space="preserve">https://legis.senado.leg.br/norma/37553820/publicacao/37556723</t>
  </si>
  <si>
    <t xml:space="preserve">30/08/2023</t>
  </si>
  <si>
    <t xml:space="preserve">H053</t>
  </si>
  <si>
    <t xml:space="preserve">Tributos</t>
  </si>
  <si>
    <t xml:space="preserve">Reforma tributária solidária, justa e sustentável</t>
  </si>
  <si>
    <t xml:space="preserve">EC 132/2023 promulgada em 20/12/2023; a regulamentação por leis complementares segue e a transição está prevista de 2029 a 2077.</t>
  </si>
  <si>
    <t xml:space="preserve">Agência Câmara</t>
  </si>
  <si>
    <t xml:space="preserve">https://www.camara.leg.br/noticias/1028787-apos-decadas-de-negociacao-o-congresso-aprovou-a-reforma-tributaria-em-2023/</t>
  </si>
  <si>
    <t xml:space="preserve">20/12/2023</t>
  </si>
  <si>
    <t xml:space="preserve">H054</t>
  </si>
  <si>
    <t xml:space="preserve">Fazer os muito ricos pagarem imposto de renda</t>
  </si>
  <si>
    <t xml:space="preserve">Lei 15.270/2025 ampliou a isenção do IR e criou tributação mínima para altas rendas.</t>
  </si>
  <si>
    <t xml:space="preserve">https://legis.senado.leg.br/norma/41758136/publicacao/41762089</t>
  </si>
  <si>
    <t xml:space="preserve">26/11/2025</t>
  </si>
  <si>
    <t xml:space="preserve">H055</t>
  </si>
  <si>
    <t xml:space="preserve">Combater a inflação e a carestia de alimentos, combustíveis e eletricidade</t>
  </si>
  <si>
    <t xml:space="preserve">H059</t>
  </si>
  <si>
    <t xml:space="preserve">Câmbio</t>
  </si>
  <si>
    <t xml:space="preserve">Reduzir a volatilidade da moeda por meio da política cambial</t>
  </si>
  <si>
    <t xml:space="preserve">H060</t>
  </si>
  <si>
    <t xml:space="preserve">Crédito e dívidas</t>
  </si>
  <si>
    <t xml:space="preserve">Renegociar dívidas das famílias por bancos públicos</t>
  </si>
  <si>
    <t xml:space="preserve">Desenrola Brasil renegociou R$ 34 bilhões em dívidas até jan/2024.</t>
  </si>
  <si>
    <t xml:space="preserve">Agência Gov (EBC)</t>
  </si>
  <si>
    <t xml:space="preserve">https://agenciagov.ebc.com.br/noticias/202401/desenrola-brasil-chega-a-r-34-bilhoes-em-dividas-renegociadas</t>
  </si>
  <si>
    <t xml:space="preserve">01/2024</t>
  </si>
  <si>
    <t xml:space="preserve">H062</t>
  </si>
  <si>
    <t xml:space="preserve">Reindustrialização do país</t>
  </si>
  <si>
    <t xml:space="preserve">Política Nova Indústria Brasil em execução; BNDES prevê R$ 140 bilhões até dez/2026.</t>
  </si>
  <si>
    <t xml:space="preserve">Diário do Transporte (notícia)</t>
  </si>
  <si>
    <t xml:space="preserve">https://diariodotransporte.com.br/2026/06/22/nova-industria-incluindo-onibus-eletricos-e-minerais-criticos-para-baterias-tera-r-140-bilhoes-ate-dezembro-de-2026/</t>
  </si>
  <si>
    <t xml:space="preserve">22/06/2026</t>
  </si>
  <si>
    <t xml:space="preserve">H063</t>
  </si>
  <si>
    <t xml:space="preserve">Política industrial voltada à transição tecnológica, ambiental e social</t>
  </si>
  <si>
    <t xml:space="preserve">Lei 14.902/2024 instituiu o programa Mover (mobilidade verde e inovação); execução em curso.</t>
  </si>
  <si>
    <t xml:space="preserve">https://legis.senado.leg.br/norma/38654015</t>
  </si>
  <si>
    <t xml:space="preserve">27/06/2024</t>
  </si>
  <si>
    <t xml:space="preserve">H071</t>
  </si>
  <si>
    <t xml:space="preserve">Infraestrutura</t>
  </si>
  <si>
    <t xml:space="preserve">Retomar investimentos em infraestrutura com programa de investimentos públicos</t>
  </si>
  <si>
    <t xml:space="preserve">Decreto 11.632/2023 instituiu o Novo PAC; execução em curso.</t>
  </si>
  <si>
    <t xml:space="preserve">https://legis.senado.leg.br/norma/37473424</t>
  </si>
  <si>
    <t xml:space="preserve">11/08/2023</t>
  </si>
  <si>
    <t xml:space="preserve">H079</t>
  </si>
  <si>
    <t xml:space="preserve">Estatais</t>
  </si>
  <si>
    <t xml:space="preserve">Oposição à privatização dos Correios</t>
  </si>
  <si>
    <t xml:space="preserve">Governo declarou oposição à privatização; não localizei ato de privatização no mandato.</t>
  </si>
  <si>
    <t xml:space="preserve">Poder360 (notícia)</t>
  </si>
  <si>
    <t xml:space="preserve">https://www.poder360.com.br/brasil/e-preciso-dizer-nao-a-privatizacao-dos-correios-defende-lula/</t>
  </si>
  <si>
    <t xml:space="preserve">H080</t>
  </si>
  <si>
    <t xml:space="preserve">Bancos públicos</t>
  </si>
  <si>
    <t xml:space="preserve">Fortalecer BB, CEF, BNDES, BNB, BASA e Finep</t>
  </si>
  <si>
    <t xml:space="preserve">H081</t>
  </si>
  <si>
    <t xml:space="preserve">Recompor o sistema de fomento científico (FNDCT, CNPq, Capes)</t>
  </si>
  <si>
    <t xml:space="preserve">H084</t>
  </si>
  <si>
    <t xml:space="preserve">84</t>
  </si>
  <si>
    <t xml:space="preserve">Estratégia econômica com economia criativa, transição digital e inteligência artificial</t>
  </si>
  <si>
    <t xml:space="preserve">H085</t>
  </si>
  <si>
    <t xml:space="preserve">85</t>
  </si>
  <si>
    <t xml:space="preserve">Digital</t>
  </si>
  <si>
    <t xml:space="preserve">Transformação digital e internet de qualidade em todo o território</t>
  </si>
  <si>
    <t xml:space="preserve">H087</t>
  </si>
  <si>
    <t xml:space="preserve">87</t>
  </si>
  <si>
    <t xml:space="preserve">Regiões</t>
  </si>
  <si>
    <t xml:space="preserve">Combater as desigualdades regionais</t>
  </si>
  <si>
    <t xml:space="preserve">H088</t>
  </si>
  <si>
    <t xml:space="preserve">88</t>
  </si>
  <si>
    <t xml:space="preserve">Empreendedorismo</t>
  </si>
  <si>
    <t xml:space="preserve">Ambiente para empreendedores, cooperativismo e compras públicas para pequenos negócios</t>
  </si>
  <si>
    <t xml:space="preserve">H089</t>
  </si>
  <si>
    <t xml:space="preserve">89</t>
  </si>
  <si>
    <t xml:space="preserve">Estimular economia solidária, economia criativa e empreendedorismo social</t>
  </si>
  <si>
    <t xml:space="preserve">H015</t>
  </si>
  <si>
    <t xml:space="preserve">Reforma agrária e estímulo à economia solidária</t>
  </si>
  <si>
    <t xml:space="preserve">Governo informou 71 mil famílias assentadas em 2024; movimentos sociais contestam os números.</t>
  </si>
  <si>
    <t xml:space="preserve">IHU/Unisinos (reprodução de notícia)</t>
  </si>
  <si>
    <t xml:space="preserve">https://ihu.unisinos.br/648437-governo-diz-ter-assentado-71-mil-familias-em-2024-mas-mst-contesta-dados</t>
  </si>
  <si>
    <t xml:space="preserve">12/02/2025</t>
  </si>
  <si>
    <t xml:space="preserve">H018</t>
  </si>
  <si>
    <t xml:space="preserve">Combate à fome</t>
  </si>
  <si>
    <t xml:space="preserve">Garantir ao menos três refeições de qualidade por dia a todos</t>
  </si>
  <si>
    <t xml:space="preserve">Relatório da ONU (jul/2025) indicou a saída do Brasil do Mapa da Fome; a meta de três refeições para todos segue em curso.</t>
  </si>
  <si>
    <t xml:space="preserve">Jornal do Brasil (sobre relatório da ONU)</t>
  </si>
  <si>
    <t xml:space="preserve">https://www.jb.com.br/brasil/direitos-humanos/2025/07/1056350-brasil-sai-do-mapa-da-fome-indica-relatorio-da-onu.html</t>
  </si>
  <si>
    <t xml:space="preserve">28/07/2025</t>
  </si>
  <si>
    <t xml:space="preserve">H057</t>
  </si>
  <si>
    <t xml:space="preserve">Abastecimento</t>
  </si>
  <si>
    <t xml:space="preserve">Política nacional de abastecimento, com estoques reguladores e apoio à agricultura familiar e orgânica</t>
  </si>
  <si>
    <t xml:space="preserve">H065</t>
  </si>
  <si>
    <t xml:space="preserve">Compras públicas e apoio à agricultura familiar para alimentos saudáveis</t>
  </si>
  <si>
    <t xml:space="preserve">Lei 14.660/2023 alterou o programa de alimentação escolar (prioridade a agricultoras na compra da agricultura familiar).</t>
  </si>
  <si>
    <t xml:space="preserve">https://www2.camara.leg.br/legin/fed/lei/2023/lei-14660-23-agosto-2023-794585-norma-pl.html</t>
  </si>
  <si>
    <t xml:space="preserve">23/08/2023</t>
  </si>
  <si>
    <t xml:space="preserve">H067</t>
  </si>
  <si>
    <t xml:space="preserve">Pesquisa agrícola</t>
  </si>
  <si>
    <t xml:space="preserve">Fortalecer a Embrapa</t>
  </si>
  <si>
    <t xml:space="preserve">H069</t>
  </si>
  <si>
    <t xml:space="preserve">69</t>
  </si>
  <si>
    <t xml:space="preserve">Agroindústria</t>
  </si>
  <si>
    <t xml:space="preserve">Agregar valor à produção agrícola e fortalecer a produção nacional de insumos e máquinas</t>
  </si>
  <si>
    <t xml:space="preserve">H058</t>
  </si>
  <si>
    <t xml:space="preserve">Nova política de preços dos combustíveis (abrasileirar o preço)</t>
  </si>
  <si>
    <t xml:space="preserve">Petrobras anunciou nova estratégia de preços e o fim da paridade de importação (PPI) em mai/2023. A decisão é da empresa.</t>
  </si>
  <si>
    <t xml:space="preserve">A Gazeta (coluna)</t>
  </si>
  <si>
    <t xml:space="preserve">https://www.agazeta.com.br/dinheiro/lelio-monteiro/nova-estrategia-de-precos-de-combustiveis-da-petrobras-e-boa-ou-ruim-0523</t>
  </si>
  <si>
    <t xml:space="preserve">05/2023</t>
  </si>
  <si>
    <t xml:space="preserve">H075</t>
  </si>
  <si>
    <t xml:space="preserve">Energia</t>
  </si>
  <si>
    <t xml:space="preserve">Garantir soberania e segurança energética, com fontes limpas e preços compatíveis</t>
  </si>
  <si>
    <t xml:space="preserve">H077</t>
  </si>
  <si>
    <t xml:space="preserve">Oposição à privatização da Petrobras e da PPSA</t>
  </si>
  <si>
    <t xml:space="preserve">Governo declarou em mai/2023 que não venderá a Petrobras; não localizei venda ou ato de privatização no mandato.</t>
  </si>
  <si>
    <t xml:space="preserve">O Povo (notícia)</t>
  </si>
  <si>
    <t xml:space="preserve">https://www.opovo.com.br/noticias/economia/2023/05/11/lula-diz-que-nao-vai-vender-petrobras-e-correios-e-critica-privatizacao-da-eletrobras.html</t>
  </si>
  <si>
    <t xml:space="preserve">11/05/2023</t>
  </si>
  <si>
    <t xml:space="preserve">H078</t>
  </si>
  <si>
    <t xml:space="preserve">Oposição à privatização da Eletrobras e recuperação do seu papel</t>
  </si>
  <si>
    <t xml:space="preserve">Empresa foi capitalizada em 2022, antes do mandato; localizei apenas críticas do presidente (mai/2023), sem ato de reversão.</t>
  </si>
  <si>
    <t xml:space="preserve">H078b</t>
  </si>
  <si>
    <t xml:space="preserve">78b</t>
  </si>
  <si>
    <t xml:space="preserve">Dar continuidade ao Luz para Todos</t>
  </si>
  <si>
    <t xml:space="preserve">Decreto 11.628/2023 relançou o Programa Luz para Todos; execução em curso.</t>
  </si>
  <si>
    <t xml:space="preserve">https://legis.senado.leg.br/norma/37456819</t>
  </si>
  <si>
    <t xml:space="preserve">04/08/2023</t>
  </si>
  <si>
    <t xml:space="preserve">H049</t>
  </si>
  <si>
    <t xml:space="preserve">Meio ambiente</t>
  </si>
  <si>
    <t xml:space="preserve">Combater o uso predatório dos recursos naturais e fortalecer o Sisnama e a Funai</t>
  </si>
  <si>
    <t xml:space="preserve">H070</t>
  </si>
  <si>
    <t xml:space="preserve">Mineração</t>
  </si>
  <si>
    <t xml:space="preserve">Aperfeiçoar a regulação minerária e combater a mineração ilegal na Amazônia</t>
  </si>
  <si>
    <t xml:space="preserve">H091</t>
  </si>
  <si>
    <t xml:space="preserve">91</t>
  </si>
  <si>
    <t xml:space="preserve">Cumprir e superar as metas de emissões do Acordo de Paris</t>
  </si>
  <si>
    <t xml:space="preserve">Nova NDC entregue à ONU em nov/2024 (redução de 59% a 67% até 2035); o cumprimento será aferido até 2035.</t>
  </si>
  <si>
    <t xml:space="preserve">https://agenciagov.ebc.com.br/noticias/202411/brasil-entrega-a-onu-nova-ndc-alinhada-ao-acordo-de-paris</t>
  </si>
  <si>
    <t xml:space="preserve">11/2024</t>
  </si>
  <si>
    <t xml:space="preserve">H094</t>
  </si>
  <si>
    <t xml:space="preserve">94</t>
  </si>
  <si>
    <t xml:space="preserve">Combate ao desmatamento ilegal e desmatamento líquido zero</t>
  </si>
  <si>
    <t xml:space="preserve">Desmatamento na Amazônia caiu cerca de 11% no PRODES 2025, segundo reportagem sobre dados do INPE; meta de desmatamento líquido zero não atingida.</t>
  </si>
  <si>
    <t xml:space="preserve">Forbes Brasil (sobre dados do INPE)</t>
  </si>
  <si>
    <t xml:space="preserve">https://forbes.com.br/forbes-esg/2025/10/amazonia-tem-queda-de-11-no-desmatamento-e-terceira-menor-area-destruida-em-um-ano/</t>
  </si>
  <si>
    <t xml:space="preserve">10/2025</t>
  </si>
  <si>
    <t xml:space="preserve">H095</t>
  </si>
  <si>
    <t xml:space="preserve">95</t>
  </si>
  <si>
    <t xml:space="preserve">Conservar os biomas, a zona econômica exclusiva e a Amazônia Azul</t>
  </si>
  <si>
    <t xml:space="preserve">H096</t>
  </si>
  <si>
    <t xml:space="preserve">96</t>
  </si>
  <si>
    <t xml:space="preserve">Destravar o potencial da economia da biodiversidade</t>
  </si>
  <si>
    <t xml:space="preserve">H013</t>
  </si>
  <si>
    <t xml:space="preserve">13</t>
  </si>
  <si>
    <t xml:space="preserve">Trabalho</t>
  </si>
  <si>
    <t xml:space="preserve">Nova legislação trabalhista com proteção a autônomos e plataformas e revogação de marcos da reforma de 2017</t>
  </si>
  <si>
    <t xml:space="preserve">Pesquisado nesta rodada sem fonte consolidada. Verificar PLP 12/2024 (motoristas de aplicativo) e a Lei 13.467/2017.</t>
  </si>
  <si>
    <t xml:space="preserve">H014</t>
  </si>
  <si>
    <t xml:space="preserve">14</t>
  </si>
  <si>
    <t xml:space="preserve">Sindicatos</t>
  </si>
  <si>
    <t xml:space="preserve">Incentivar a reestruturação sindical, a negociação coletiva e o direito de greve</t>
  </si>
  <si>
    <t xml:space="preserve">H016</t>
  </si>
  <si>
    <t xml:space="preserve">Retomar a política de valorização do salário mínimo</t>
  </si>
  <si>
    <t xml:space="preserve">Lei 14.663/2023 fixou a nova regra de reajuste.</t>
  </si>
  <si>
    <t xml:space="preserve">https://legis.senado.leg.br/norma/37536044/publicacao/37540745</t>
  </si>
  <si>
    <t xml:space="preserve">28/08/2023</t>
  </si>
  <si>
    <t xml:space="preserve">H017</t>
  </si>
  <si>
    <t xml:space="preserve">Reconstruir a seguridade e a previdência social</t>
  </si>
  <si>
    <t xml:space="preserve">H064</t>
  </si>
  <si>
    <t xml:space="preserve">Ampliar acordos comerciais relevantes</t>
  </si>
  <si>
    <t xml:space="preserve">Acordo Mercosul-União Europeia promulgado pelo Congresso em 17/03/2026.</t>
  </si>
  <si>
    <t xml:space="preserve">https://www12.senado.leg.br/noticias/materias/2026/03/17/congresso-promulga-acordo-mercosul-uniao-europeia</t>
  </si>
  <si>
    <t xml:space="preserve">17/03/2026</t>
  </si>
  <si>
    <t xml:space="preserve">H100</t>
  </si>
  <si>
    <t xml:space="preserve">100</t>
  </si>
  <si>
    <t xml:space="preserve">Política externa</t>
  </si>
  <si>
    <t xml:space="preserve">Recuperar a política externa ativa e altiva e a cooperação Sul-Sul</t>
  </si>
  <si>
    <t xml:space="preserve">H101</t>
  </si>
  <si>
    <t xml:space="preserve">101</t>
  </si>
  <si>
    <t xml:space="preserve">Fortalecer Mercosul, Unasul, Celac e Brics</t>
  </si>
  <si>
    <t xml:space="preserve">H102</t>
  </si>
  <si>
    <t xml:space="preserve">102</t>
  </si>
  <si>
    <t xml:space="preserve">Retomar e ampliar políticas para brasileiros no exterior</t>
  </si>
  <si>
    <t xml:space="preserve">H103</t>
  </si>
  <si>
    <t xml:space="preserve">103</t>
  </si>
  <si>
    <t xml:space="preserve">Políticas de defesa e inteligência, com Forças Armadas dentro da Constituição</t>
  </si>
  <si>
    <t xml:space="preserve">ID da proposta</t>
  </si>
  <si>
    <t xml:space="preserve">Projeto / ação</t>
  </si>
  <si>
    <t xml:space="preserve">Valor empenhado (R$)</t>
  </si>
  <si>
    <t xml:space="preserve">Valor pago (R$)</t>
  </si>
  <si>
    <t xml:space="preserve">Data de referência</t>
  </si>
  <si>
    <t xml:space="preserve">Portal / fonte</t>
  </si>
  <si>
    <t xml:space="preserve">Link oficial da fonte</t>
  </si>
  <si>
    <t xml:space="preserve">Registrado por</t>
  </si>
  <si>
    <t xml:space="preserve">Eixo (automático)</t>
  </si>
  <si>
    <t xml:space="preserve">Situação (automática)</t>
  </si>
  <si>
    <t xml:space="preserve">Medidor do Programa de Governo: resumo</t>
  </si>
  <si>
    <t xml:space="preserve">Todos os números abaixo são fórmulas e se atualizam sozinhos quando a aba Propostas é editada.</t>
  </si>
  <si>
    <t xml:space="preserve">Avanço médio geral</t>
  </si>
  <si>
    <t xml:space="preserve">Propostas concluídas (%)</t>
  </si>
  <si>
    <t xml:space="preserve">Total</t>
  </si>
  <si>
    <t xml:space="preserve">% concluídas</t>
  </si>
  <si>
    <t xml:space="preserve">Avanço médio</t>
  </si>
  <si>
    <t xml:space="preserve">Tipo de proposta</t>
  </si>
  <si>
    <t xml:space="preserve">Conferência: o total por eixo deve ser igual ao total por tipo.</t>
  </si>
  <si>
    <t xml:space="preserve">Confere?</t>
  </si>
  <si>
    <t xml:space="preserve">Gastos verificáveis (aba Gastos)</t>
  </si>
  <si>
    <t xml:space="preserve">Total pago (R$)</t>
  </si>
  <si>
    <t xml:space="preserve">Total empenhado (R$)</t>
  </si>
  <si>
    <t xml:space="preserve">Registros verificáveis</t>
  </si>
  <si>
    <t xml:space="preserve">Registros não contabilizados</t>
  </si>
  <si>
    <t xml:space="preserve">Lula 2022 (mandato 2023-2026): balanço</t>
  </si>
  <si>
    <t xml:space="preserve">Itens no balanço</t>
  </si>
  <si>
    <t xml:space="preserve">Sem dados (a pesquisar ou sem fonte)</t>
  </si>
  <si>
    <t xml:space="preserve">% cumpridas entre as avaliadas (exclui Sem dados)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</si>
</sst>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dd/mm/yyyy"/>
    <numFmt numFmtId="167" formatCode="@"/>
    <numFmt numFmtId="168" formatCode="#,##0.00"/>
    <numFmt numFmtId="169" formatCode="0.0%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DDE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2E3"/>
          <bgColor rgb="FF000000"/>
        </patternFill>
      </fill>
    </dxf>
    <dxf>
      <fill>
        <patternFill patternType="solid">
          <fgColor rgb="FFE5E8EC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>
          <bgColor rgb="FFD9F2E3"/>
        </patternFill>
      </fill>
    </dxf>
    <dxf>
      <fill>
        <patternFill>
          <bgColor rgb="FFFFF0CC"/>
        </patternFill>
      </fill>
    </dxf>
    <dxf>
      <fill>
        <patternFill>
          <bgColor rgb="FFE5E8E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0CC"/>
      <rgbColor rgb="FFD9F2E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8EC"/>
      <rgbColor rgb="FFC6EFCE"/>
      <rgbColor rgb="FFFFEB9C"/>
      <rgbColor rgb="FFDDE2E9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</row>
    <row r="3" customFormat="false" ht="23.25" hidden="false" customHeight="true" outlineLevel="0" collapsed="false">
      <c r="A3" s="3" t="s">
        <v>1</v>
      </c>
      <c r="B3" s="4" t="s">
        <v>2</v>
      </c>
    </row>
    <row r="4" customFormat="false" ht="34.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23.25" hidden="false" customHeight="true" outlineLevel="0" collapsed="false">
      <c r="A6" s="3" t="s">
        <v>7</v>
      </c>
      <c r="B6" s="4" t="s">
        <v>8</v>
      </c>
    </row>
    <row r="7" customFormat="false" ht="23.2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3.25" hidden="false" customHeight="true" outlineLevel="0" collapsed="false">
      <c r="A9" s="3" t="s">
        <v>13</v>
      </c>
      <c r="B9" s="4" t="s">
        <v>14</v>
      </c>
    </row>
    <row r="10" customFormat="false" ht="23.25" hidden="false" customHeight="true" outlineLevel="0" collapsed="false">
      <c r="A10" s="3" t="s">
        <v>15</v>
      </c>
      <c r="B10" s="4" t="s">
        <v>16</v>
      </c>
    </row>
    <row r="11" customFormat="false" ht="23.25" hidden="false" customHeight="true" outlineLevel="0" collapsed="false">
      <c r="A11" s="3" t="s">
        <v>17</v>
      </c>
      <c r="B11" s="4" t="s">
        <v>18</v>
      </c>
    </row>
    <row r="12" customFormat="false" ht="23.25" hidden="false" customHeight="true" outlineLevel="0" collapsed="false">
      <c r="A12" s="3" t="s">
        <v>19</v>
      </c>
      <c r="B12" s="4" t="s">
        <v>20</v>
      </c>
    </row>
    <row r="13" customFormat="false" ht="23.25" hidden="false" customHeight="true" outlineLevel="0" collapsed="false">
      <c r="A13" s="3" t="s">
        <v>21</v>
      </c>
      <c r="B13" s="4" t="s">
        <v>22</v>
      </c>
    </row>
    <row r="14" customFormat="false" ht="23.25" hidden="false" customHeight="true" outlineLevel="0" collapsed="false">
      <c r="A14" s="3" t="s">
        <v>23</v>
      </c>
      <c r="B14" s="4" t="s">
        <v>24</v>
      </c>
    </row>
    <row r="15" customFormat="false" ht="34.5" hidden="false" customHeight="true" outlineLevel="0" collapsed="false">
      <c r="A15" s="5" t="s">
        <v>25</v>
      </c>
      <c r="B15" s="4" t="s">
        <v>26</v>
      </c>
    </row>
    <row r="16" customFormat="false" ht="23.25" hidden="false" customHeight="true" outlineLevel="0" collapsed="false">
      <c r="A16" s="5" t="s">
        <v>27</v>
      </c>
      <c r="B16" s="4" t="s">
        <v>28</v>
      </c>
    </row>
    <row r="17" customFormat="false" ht="23.25" hidden="false" customHeight="true" outlineLevel="0" collapsed="false">
      <c r="A17" s="5" t="s">
        <v>29</v>
      </c>
      <c r="B17" s="4" t="s">
        <v>30</v>
      </c>
    </row>
    <row r="18" customFormat="false" ht="45.75" hidden="false" customHeight="true" outlineLevel="0" collapsed="false">
      <c r="A18" s="5" t="s">
        <v>31</v>
      </c>
      <c r="B18" s="4" t="s">
        <v>32</v>
      </c>
    </row>
    <row r="19" customFormat="false" ht="23.25" hidden="false" customHeight="true" outlineLevel="0" collapsed="false">
      <c r="A19" s="5" t="s">
        <v>33</v>
      </c>
      <c r="B19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60"/>
    <col collapsed="false" customWidth="true" hidden="false" outlineLevel="0" max="5" min="5" style="1" width="8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30"/>
    <col collapsed="false" customWidth="true" hidden="false" outlineLevel="0" max="9" min="9" style="1" width="38"/>
    <col collapsed="false" customWidth="true" hidden="false" outlineLevel="0" max="10" min="10" style="1" width="15"/>
    <col collapsed="false" customWidth="true" hidden="false" outlineLevel="0" max="11" min="11" style="1" width="11"/>
    <col collapsed="false" customWidth="true" hidden="false" outlineLevel="0" max="12" min="12" style="1" width="13"/>
    <col collapsed="false" customWidth="true" hidden="false" outlineLevel="0" max="14" min="13" style="1" width="30"/>
  </cols>
  <sheetData>
    <row r="1" customFormat="false" ht="31.5" hidden="false" customHeight="tru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11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</row>
    <row r="2" customFormat="false" ht="23.25" hidden="false" customHeight="true" outlineLevel="0" collapsed="false">
      <c r="A2" s="7" t="s">
        <v>48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/>
      <c r="H2" s="7"/>
      <c r="I2" s="7" t="s">
        <v>54</v>
      </c>
      <c r="J2" s="8" t="s">
        <v>55</v>
      </c>
      <c r="K2" s="9" t="n">
        <v>0</v>
      </c>
      <c r="L2" s="10"/>
      <c r="M2" s="8"/>
      <c r="N2" s="8"/>
    </row>
    <row r="3" customFormat="false" ht="23.25" hidden="false" customHeight="true" outlineLevel="0" collapsed="false">
      <c r="A3" s="7" t="s">
        <v>56</v>
      </c>
      <c r="B3" s="7" t="s">
        <v>49</v>
      </c>
      <c r="C3" s="7" t="s">
        <v>57</v>
      </c>
      <c r="D3" s="7" t="s">
        <v>58</v>
      </c>
      <c r="E3" s="7" t="s">
        <v>52</v>
      </c>
      <c r="F3" s="7" t="s">
        <v>59</v>
      </c>
      <c r="G3" s="7"/>
      <c r="H3" s="7" t="s">
        <v>60</v>
      </c>
      <c r="I3" s="7" t="s">
        <v>61</v>
      </c>
      <c r="J3" s="8" t="s">
        <v>55</v>
      </c>
      <c r="K3" s="9" t="n">
        <v>0</v>
      </c>
      <c r="L3" s="10"/>
      <c r="M3" s="8"/>
      <c r="N3" s="8"/>
    </row>
    <row r="4" customFormat="false" ht="23.25" hidden="false" customHeight="true" outlineLevel="0" collapsed="false">
      <c r="A4" s="7" t="s">
        <v>62</v>
      </c>
      <c r="B4" s="7" t="s">
        <v>49</v>
      </c>
      <c r="C4" s="7" t="s">
        <v>57</v>
      </c>
      <c r="D4" s="7" t="s">
        <v>63</v>
      </c>
      <c r="E4" s="7" t="s">
        <v>52</v>
      </c>
      <c r="F4" s="7" t="s">
        <v>53</v>
      </c>
      <c r="G4" s="7" t="s">
        <v>64</v>
      </c>
      <c r="H4" s="7" t="s">
        <v>65</v>
      </c>
      <c r="I4" s="7" t="s">
        <v>66</v>
      </c>
      <c r="J4" s="8" t="s">
        <v>55</v>
      </c>
      <c r="K4" s="9" t="n">
        <v>0</v>
      </c>
      <c r="L4" s="10"/>
      <c r="M4" s="8"/>
      <c r="N4" s="8"/>
    </row>
    <row r="5" customFormat="false" ht="15" hidden="false" customHeight="true" outlineLevel="0" collapsed="false">
      <c r="A5" s="7" t="s">
        <v>67</v>
      </c>
      <c r="B5" s="7" t="s">
        <v>49</v>
      </c>
      <c r="C5" s="7" t="s">
        <v>68</v>
      </c>
      <c r="D5" s="7" t="s">
        <v>69</v>
      </c>
      <c r="E5" s="7" t="s">
        <v>70</v>
      </c>
      <c r="F5" s="7" t="s">
        <v>59</v>
      </c>
      <c r="G5" s="7"/>
      <c r="H5" s="7" t="s">
        <v>71</v>
      </c>
      <c r="I5" s="7" t="s">
        <v>72</v>
      </c>
      <c r="J5" s="8" t="s">
        <v>55</v>
      </c>
      <c r="K5" s="9" t="n">
        <v>0</v>
      </c>
      <c r="L5" s="10"/>
      <c r="M5" s="8"/>
      <c r="N5" s="8"/>
    </row>
    <row r="6" customFormat="false" ht="15" hidden="false" customHeight="true" outlineLevel="0" collapsed="false">
      <c r="A6" s="7" t="s">
        <v>73</v>
      </c>
      <c r="B6" s="7" t="s">
        <v>49</v>
      </c>
      <c r="C6" s="7" t="s">
        <v>74</v>
      </c>
      <c r="D6" s="7" t="s">
        <v>75</v>
      </c>
      <c r="E6" s="7" t="s">
        <v>76</v>
      </c>
      <c r="F6" s="7" t="s">
        <v>53</v>
      </c>
      <c r="G6" s="7"/>
      <c r="H6" s="7"/>
      <c r="I6" s="7" t="s">
        <v>77</v>
      </c>
      <c r="J6" s="8" t="s">
        <v>55</v>
      </c>
      <c r="K6" s="9" t="n">
        <v>0</v>
      </c>
      <c r="L6" s="10"/>
      <c r="M6" s="8"/>
      <c r="N6" s="8"/>
    </row>
    <row r="7" customFormat="false" ht="23.25" hidden="false" customHeight="true" outlineLevel="0" collapsed="false">
      <c r="A7" s="7" t="s">
        <v>78</v>
      </c>
      <c r="B7" s="7" t="s">
        <v>49</v>
      </c>
      <c r="C7" s="7" t="s">
        <v>79</v>
      </c>
      <c r="D7" s="7" t="s">
        <v>80</v>
      </c>
      <c r="E7" s="7" t="s">
        <v>76</v>
      </c>
      <c r="F7" s="7" t="s">
        <v>59</v>
      </c>
      <c r="G7" s="7"/>
      <c r="H7" s="7"/>
      <c r="I7" s="7" t="s">
        <v>81</v>
      </c>
      <c r="J7" s="8" t="s">
        <v>55</v>
      </c>
      <c r="K7" s="9" t="n">
        <v>0</v>
      </c>
      <c r="L7" s="10"/>
      <c r="M7" s="8"/>
      <c r="N7" s="8"/>
    </row>
    <row r="8" customFormat="false" ht="23.25" hidden="false" customHeight="true" outlineLevel="0" collapsed="false">
      <c r="A8" s="7" t="s">
        <v>82</v>
      </c>
      <c r="B8" s="7" t="s">
        <v>49</v>
      </c>
      <c r="C8" s="7" t="s">
        <v>83</v>
      </c>
      <c r="D8" s="7" t="s">
        <v>84</v>
      </c>
      <c r="E8" s="7" t="s">
        <v>76</v>
      </c>
      <c r="F8" s="7" t="s">
        <v>59</v>
      </c>
      <c r="G8" s="7"/>
      <c r="H8" s="7" t="s">
        <v>85</v>
      </c>
      <c r="I8" s="7" t="s">
        <v>81</v>
      </c>
      <c r="J8" s="8" t="s">
        <v>55</v>
      </c>
      <c r="K8" s="9" t="n">
        <v>0</v>
      </c>
      <c r="L8" s="10"/>
      <c r="M8" s="8"/>
      <c r="N8" s="8"/>
    </row>
    <row r="9" customFormat="false" ht="23.25" hidden="false" customHeight="true" outlineLevel="0" collapsed="false">
      <c r="A9" s="7" t="s">
        <v>86</v>
      </c>
      <c r="B9" s="7" t="s">
        <v>49</v>
      </c>
      <c r="C9" s="7" t="s">
        <v>87</v>
      </c>
      <c r="D9" s="7" t="s">
        <v>88</v>
      </c>
      <c r="E9" s="7" t="s">
        <v>89</v>
      </c>
      <c r="F9" s="7" t="s">
        <v>59</v>
      </c>
      <c r="G9" s="7"/>
      <c r="H9" s="7"/>
      <c r="I9" s="7" t="s">
        <v>81</v>
      </c>
      <c r="J9" s="8" t="s">
        <v>55</v>
      </c>
      <c r="K9" s="9" t="n">
        <v>0</v>
      </c>
      <c r="L9" s="10"/>
      <c r="M9" s="8"/>
      <c r="N9" s="8"/>
    </row>
    <row r="10" customFormat="false" ht="15" hidden="false" customHeight="true" outlineLevel="0" collapsed="false">
      <c r="A10" s="7" t="s">
        <v>90</v>
      </c>
      <c r="B10" s="7" t="s">
        <v>49</v>
      </c>
      <c r="C10" s="7" t="s">
        <v>91</v>
      </c>
      <c r="D10" s="7" t="s">
        <v>92</v>
      </c>
      <c r="E10" s="7" t="s">
        <v>93</v>
      </c>
      <c r="F10" s="7" t="s">
        <v>59</v>
      </c>
      <c r="G10" s="7"/>
      <c r="H10" s="7" t="s">
        <v>94</v>
      </c>
      <c r="I10" s="7" t="s">
        <v>95</v>
      </c>
      <c r="J10" s="8" t="s">
        <v>55</v>
      </c>
      <c r="K10" s="9" t="n">
        <v>0</v>
      </c>
      <c r="L10" s="10"/>
      <c r="M10" s="8"/>
      <c r="N10" s="8"/>
    </row>
    <row r="11" customFormat="false" ht="23.25" hidden="false" customHeight="true" outlineLevel="0" collapsed="false">
      <c r="A11" s="7" t="s">
        <v>96</v>
      </c>
      <c r="B11" s="7" t="s">
        <v>49</v>
      </c>
      <c r="C11" s="7" t="s">
        <v>97</v>
      </c>
      <c r="D11" s="7" t="s">
        <v>98</v>
      </c>
      <c r="E11" s="7" t="s">
        <v>93</v>
      </c>
      <c r="F11" s="7" t="s">
        <v>53</v>
      </c>
      <c r="G11" s="7"/>
      <c r="H11" s="7"/>
      <c r="I11" s="7" t="s">
        <v>99</v>
      </c>
      <c r="J11" s="8" t="s">
        <v>55</v>
      </c>
      <c r="K11" s="9" t="n">
        <v>0</v>
      </c>
      <c r="L11" s="10"/>
      <c r="M11" s="8"/>
      <c r="N11" s="8"/>
    </row>
    <row r="12" customFormat="false" ht="23.25" hidden="false" customHeight="true" outlineLevel="0" collapsed="false">
      <c r="A12" s="7" t="s">
        <v>100</v>
      </c>
      <c r="B12" s="7" t="s">
        <v>49</v>
      </c>
      <c r="C12" s="7" t="s">
        <v>101</v>
      </c>
      <c r="D12" s="7" t="s">
        <v>102</v>
      </c>
      <c r="E12" s="7" t="s">
        <v>93</v>
      </c>
      <c r="F12" s="7" t="s">
        <v>53</v>
      </c>
      <c r="G12" s="7"/>
      <c r="H12" s="7"/>
      <c r="I12" s="7" t="s">
        <v>99</v>
      </c>
      <c r="J12" s="8" t="s">
        <v>55</v>
      </c>
      <c r="K12" s="9" t="n">
        <v>0</v>
      </c>
      <c r="L12" s="10"/>
      <c r="M12" s="8"/>
      <c r="N12" s="8"/>
    </row>
    <row r="13" customFormat="false" ht="23.25" hidden="false" customHeight="true" outlineLevel="0" collapsed="false">
      <c r="A13" s="7" t="s">
        <v>103</v>
      </c>
      <c r="B13" s="7" t="s">
        <v>49</v>
      </c>
      <c r="C13" s="7" t="s">
        <v>87</v>
      </c>
      <c r="D13" s="7" t="s">
        <v>104</v>
      </c>
      <c r="E13" s="7" t="s">
        <v>93</v>
      </c>
      <c r="F13" s="7" t="s">
        <v>59</v>
      </c>
      <c r="G13" s="7"/>
      <c r="H13" s="7"/>
      <c r="I13" s="7" t="s">
        <v>81</v>
      </c>
      <c r="J13" s="8" t="s">
        <v>55</v>
      </c>
      <c r="K13" s="9" t="n">
        <v>0</v>
      </c>
      <c r="L13" s="10"/>
      <c r="M13" s="8"/>
      <c r="N13" s="8"/>
    </row>
    <row r="14" customFormat="false" ht="23.25" hidden="false" customHeight="true" outlineLevel="0" collapsed="false">
      <c r="A14" s="7" t="s">
        <v>105</v>
      </c>
      <c r="B14" s="7" t="s">
        <v>49</v>
      </c>
      <c r="C14" s="7" t="s">
        <v>106</v>
      </c>
      <c r="D14" s="7" t="s">
        <v>107</v>
      </c>
      <c r="E14" s="7" t="s">
        <v>93</v>
      </c>
      <c r="F14" s="7" t="s">
        <v>59</v>
      </c>
      <c r="G14" s="7"/>
      <c r="H14" s="7"/>
      <c r="I14" s="7" t="s">
        <v>81</v>
      </c>
      <c r="J14" s="8" t="s">
        <v>55</v>
      </c>
      <c r="K14" s="9" t="n">
        <v>0</v>
      </c>
      <c r="L14" s="10"/>
      <c r="M14" s="8"/>
      <c r="N14" s="8"/>
    </row>
    <row r="15" customFormat="false" ht="23.25" hidden="false" customHeight="true" outlineLevel="0" collapsed="false">
      <c r="A15" s="7" t="s">
        <v>108</v>
      </c>
      <c r="B15" s="7" t="s">
        <v>49</v>
      </c>
      <c r="C15" s="7" t="s">
        <v>109</v>
      </c>
      <c r="D15" s="7" t="s">
        <v>110</v>
      </c>
      <c r="E15" s="7" t="s">
        <v>111</v>
      </c>
      <c r="F15" s="7" t="s">
        <v>59</v>
      </c>
      <c r="G15" s="7"/>
      <c r="H15" s="7" t="s">
        <v>112</v>
      </c>
      <c r="I15" s="7" t="s">
        <v>81</v>
      </c>
      <c r="J15" s="8" t="s">
        <v>55</v>
      </c>
      <c r="K15" s="9" t="n">
        <v>0</v>
      </c>
      <c r="L15" s="10"/>
      <c r="M15" s="8"/>
      <c r="N15" s="8"/>
    </row>
    <row r="16" customFormat="false" ht="23.25" hidden="false" customHeight="true" outlineLevel="0" collapsed="false">
      <c r="A16" s="7" t="s">
        <v>113</v>
      </c>
      <c r="B16" s="7" t="s">
        <v>49</v>
      </c>
      <c r="C16" s="7" t="s">
        <v>114</v>
      </c>
      <c r="D16" s="7" t="s">
        <v>115</v>
      </c>
      <c r="E16" s="7" t="s">
        <v>116</v>
      </c>
      <c r="F16" s="7" t="s">
        <v>59</v>
      </c>
      <c r="G16" s="7"/>
      <c r="H16" s="7"/>
      <c r="I16" s="7" t="s">
        <v>81</v>
      </c>
      <c r="J16" s="8" t="s">
        <v>55</v>
      </c>
      <c r="K16" s="9" t="n">
        <v>0</v>
      </c>
      <c r="L16" s="10"/>
      <c r="M16" s="8"/>
      <c r="N16" s="8"/>
    </row>
    <row r="17" customFormat="false" ht="15" hidden="false" customHeight="true" outlineLevel="0" collapsed="false">
      <c r="A17" s="7" t="s">
        <v>117</v>
      </c>
      <c r="B17" s="7" t="s">
        <v>49</v>
      </c>
      <c r="C17" s="7" t="s">
        <v>118</v>
      </c>
      <c r="D17" s="7" t="s">
        <v>119</v>
      </c>
      <c r="E17" s="7" t="s">
        <v>116</v>
      </c>
      <c r="F17" s="7" t="s">
        <v>59</v>
      </c>
      <c r="G17" s="7"/>
      <c r="H17" s="7"/>
      <c r="I17" s="7" t="s">
        <v>120</v>
      </c>
      <c r="J17" s="8" t="s">
        <v>55</v>
      </c>
      <c r="K17" s="9" t="n">
        <v>0</v>
      </c>
      <c r="L17" s="10"/>
      <c r="M17" s="8"/>
      <c r="N17" s="8"/>
    </row>
    <row r="18" customFormat="false" ht="23.25" hidden="false" customHeight="true" outlineLevel="0" collapsed="false">
      <c r="A18" s="7" t="s">
        <v>121</v>
      </c>
      <c r="B18" s="7" t="s">
        <v>49</v>
      </c>
      <c r="C18" s="7" t="s">
        <v>122</v>
      </c>
      <c r="D18" s="7" t="s">
        <v>123</v>
      </c>
      <c r="E18" s="7" t="s">
        <v>116</v>
      </c>
      <c r="F18" s="7" t="s">
        <v>53</v>
      </c>
      <c r="G18" s="7"/>
      <c r="H18" s="7"/>
      <c r="I18" s="7" t="s">
        <v>120</v>
      </c>
      <c r="J18" s="8" t="s">
        <v>55</v>
      </c>
      <c r="K18" s="9" t="n">
        <v>0</v>
      </c>
      <c r="L18" s="10"/>
      <c r="M18" s="8"/>
      <c r="N18" s="8"/>
    </row>
    <row r="19" customFormat="false" ht="23.25" hidden="false" customHeight="true" outlineLevel="0" collapsed="false">
      <c r="A19" s="7" t="s">
        <v>124</v>
      </c>
      <c r="B19" s="7" t="s">
        <v>49</v>
      </c>
      <c r="C19" s="7" t="s">
        <v>125</v>
      </c>
      <c r="D19" s="7" t="s">
        <v>126</v>
      </c>
      <c r="E19" s="7" t="s">
        <v>116</v>
      </c>
      <c r="F19" s="7" t="s">
        <v>59</v>
      </c>
      <c r="G19" s="7"/>
      <c r="H19" s="7"/>
      <c r="I19" s="7" t="s">
        <v>120</v>
      </c>
      <c r="J19" s="8" t="s">
        <v>55</v>
      </c>
      <c r="K19" s="9" t="n">
        <v>0</v>
      </c>
      <c r="L19" s="10"/>
      <c r="M19" s="8"/>
      <c r="N19" s="8"/>
    </row>
    <row r="20" customFormat="false" ht="23.25" hidden="false" customHeight="true" outlineLevel="0" collapsed="false">
      <c r="A20" s="7" t="s">
        <v>127</v>
      </c>
      <c r="B20" s="7" t="s">
        <v>128</v>
      </c>
      <c r="C20" s="7" t="s">
        <v>129</v>
      </c>
      <c r="D20" s="7" t="s">
        <v>130</v>
      </c>
      <c r="E20" s="7" t="s">
        <v>116</v>
      </c>
      <c r="F20" s="7" t="s">
        <v>59</v>
      </c>
      <c r="G20" s="7"/>
      <c r="H20" s="7"/>
      <c r="I20" s="7" t="s">
        <v>131</v>
      </c>
      <c r="J20" s="8" t="s">
        <v>55</v>
      </c>
      <c r="K20" s="9" t="n">
        <v>0</v>
      </c>
      <c r="L20" s="10"/>
      <c r="M20" s="8"/>
      <c r="N20" s="8"/>
    </row>
    <row r="21" customFormat="false" ht="23.25" hidden="false" customHeight="true" outlineLevel="0" collapsed="false">
      <c r="A21" s="7" t="s">
        <v>132</v>
      </c>
      <c r="B21" s="7" t="s">
        <v>128</v>
      </c>
      <c r="C21" s="7" t="s">
        <v>133</v>
      </c>
      <c r="D21" s="7" t="s">
        <v>134</v>
      </c>
      <c r="E21" s="7" t="s">
        <v>135</v>
      </c>
      <c r="F21" s="7" t="s">
        <v>59</v>
      </c>
      <c r="G21" s="7"/>
      <c r="H21" s="7"/>
      <c r="I21" s="7" t="s">
        <v>81</v>
      </c>
      <c r="J21" s="8" t="s">
        <v>55</v>
      </c>
      <c r="K21" s="9" t="n">
        <v>0</v>
      </c>
      <c r="L21" s="10"/>
      <c r="M21" s="8"/>
      <c r="N21" s="8"/>
    </row>
    <row r="22" customFormat="false" ht="23.25" hidden="false" customHeight="true" outlineLevel="0" collapsed="false">
      <c r="A22" s="7" t="s">
        <v>136</v>
      </c>
      <c r="B22" s="7" t="s">
        <v>128</v>
      </c>
      <c r="C22" s="7" t="s">
        <v>133</v>
      </c>
      <c r="D22" s="7" t="s">
        <v>137</v>
      </c>
      <c r="E22" s="7" t="s">
        <v>135</v>
      </c>
      <c r="F22" s="7" t="s">
        <v>53</v>
      </c>
      <c r="G22" s="7"/>
      <c r="H22" s="7"/>
      <c r="I22" s="7" t="s">
        <v>99</v>
      </c>
      <c r="J22" s="8" t="s">
        <v>55</v>
      </c>
      <c r="K22" s="9" t="n">
        <v>0</v>
      </c>
      <c r="L22" s="10"/>
      <c r="M22" s="8"/>
      <c r="N22" s="8"/>
    </row>
    <row r="23" customFormat="false" ht="23.25" hidden="false" customHeight="true" outlineLevel="0" collapsed="false">
      <c r="A23" s="7" t="s">
        <v>138</v>
      </c>
      <c r="B23" s="7" t="s">
        <v>128</v>
      </c>
      <c r="C23" s="7" t="s">
        <v>133</v>
      </c>
      <c r="D23" s="7" t="s">
        <v>139</v>
      </c>
      <c r="E23" s="7" t="s">
        <v>135</v>
      </c>
      <c r="F23" s="7" t="s">
        <v>59</v>
      </c>
      <c r="G23" s="7"/>
      <c r="H23" s="7"/>
      <c r="I23" s="7" t="s">
        <v>81</v>
      </c>
      <c r="J23" s="8" t="s">
        <v>55</v>
      </c>
      <c r="K23" s="9" t="n">
        <v>0</v>
      </c>
      <c r="L23" s="10"/>
      <c r="M23" s="8"/>
      <c r="N23" s="8"/>
    </row>
    <row r="24" customFormat="false" ht="23.25" hidden="false" customHeight="true" outlineLevel="0" collapsed="false">
      <c r="A24" s="7" t="s">
        <v>140</v>
      </c>
      <c r="B24" s="7" t="s">
        <v>128</v>
      </c>
      <c r="C24" s="7" t="s">
        <v>141</v>
      </c>
      <c r="D24" s="7" t="s">
        <v>142</v>
      </c>
      <c r="E24" s="7" t="s">
        <v>143</v>
      </c>
      <c r="F24" s="7" t="s">
        <v>59</v>
      </c>
      <c r="G24" s="7"/>
      <c r="H24" s="7"/>
      <c r="I24" s="7" t="s">
        <v>81</v>
      </c>
      <c r="J24" s="8" t="s">
        <v>55</v>
      </c>
      <c r="K24" s="9" t="n">
        <v>0</v>
      </c>
      <c r="L24" s="10"/>
      <c r="M24" s="8"/>
      <c r="N24" s="8"/>
    </row>
    <row r="25" customFormat="false" ht="23.25" hidden="false" customHeight="true" outlineLevel="0" collapsed="false">
      <c r="A25" s="7" t="s">
        <v>144</v>
      </c>
      <c r="B25" s="7" t="s">
        <v>128</v>
      </c>
      <c r="C25" s="7" t="s">
        <v>145</v>
      </c>
      <c r="D25" s="7" t="s">
        <v>146</v>
      </c>
      <c r="E25" s="7" t="s">
        <v>143</v>
      </c>
      <c r="F25" s="7" t="s">
        <v>53</v>
      </c>
      <c r="G25" s="7"/>
      <c r="H25" s="7" t="s">
        <v>147</v>
      </c>
      <c r="I25" s="7" t="s">
        <v>99</v>
      </c>
      <c r="J25" s="8" t="s">
        <v>55</v>
      </c>
      <c r="K25" s="9" t="n">
        <v>0</v>
      </c>
      <c r="L25" s="10"/>
      <c r="M25" s="8"/>
      <c r="N25" s="8"/>
    </row>
    <row r="26" customFormat="false" ht="23.25" hidden="false" customHeight="true" outlineLevel="0" collapsed="false">
      <c r="A26" s="7" t="s">
        <v>148</v>
      </c>
      <c r="B26" s="7" t="s">
        <v>128</v>
      </c>
      <c r="C26" s="7" t="s">
        <v>145</v>
      </c>
      <c r="D26" s="7" t="s">
        <v>149</v>
      </c>
      <c r="E26" s="7" t="s">
        <v>143</v>
      </c>
      <c r="F26" s="7" t="s">
        <v>59</v>
      </c>
      <c r="G26" s="7"/>
      <c r="H26" s="7" t="s">
        <v>150</v>
      </c>
      <c r="I26" s="7" t="s">
        <v>151</v>
      </c>
      <c r="J26" s="8" t="s">
        <v>55</v>
      </c>
      <c r="K26" s="9" t="n">
        <v>0</v>
      </c>
      <c r="L26" s="10"/>
      <c r="M26" s="8"/>
      <c r="N26" s="8"/>
    </row>
    <row r="27" customFormat="false" ht="23.25" hidden="false" customHeight="true" outlineLevel="0" collapsed="false">
      <c r="A27" s="7" t="s">
        <v>152</v>
      </c>
      <c r="B27" s="7" t="s">
        <v>128</v>
      </c>
      <c r="C27" s="7" t="s">
        <v>153</v>
      </c>
      <c r="D27" s="7" t="s">
        <v>154</v>
      </c>
      <c r="E27" s="7" t="s">
        <v>143</v>
      </c>
      <c r="F27" s="7" t="s">
        <v>59</v>
      </c>
      <c r="G27" s="7"/>
      <c r="H27" s="7" t="s">
        <v>155</v>
      </c>
      <c r="I27" s="7" t="s">
        <v>156</v>
      </c>
      <c r="J27" s="8" t="s">
        <v>55</v>
      </c>
      <c r="K27" s="9" t="n">
        <v>0</v>
      </c>
      <c r="L27" s="10"/>
      <c r="M27" s="8"/>
      <c r="N27" s="8"/>
    </row>
    <row r="28" customFormat="false" ht="23.25" hidden="false" customHeight="true" outlineLevel="0" collapsed="false">
      <c r="A28" s="7" t="s">
        <v>157</v>
      </c>
      <c r="B28" s="7" t="s">
        <v>128</v>
      </c>
      <c r="C28" s="7" t="s">
        <v>153</v>
      </c>
      <c r="D28" s="7" t="s">
        <v>158</v>
      </c>
      <c r="E28" s="7" t="s">
        <v>143</v>
      </c>
      <c r="F28" s="7" t="s">
        <v>59</v>
      </c>
      <c r="G28" s="7"/>
      <c r="H28" s="7"/>
      <c r="I28" s="7" t="s">
        <v>81</v>
      </c>
      <c r="J28" s="8" t="s">
        <v>55</v>
      </c>
      <c r="K28" s="9" t="n">
        <v>0</v>
      </c>
      <c r="L28" s="10"/>
      <c r="M28" s="8"/>
      <c r="N28" s="8"/>
    </row>
    <row r="29" customFormat="false" ht="23.25" hidden="false" customHeight="true" outlineLevel="0" collapsed="false">
      <c r="A29" s="7" t="s">
        <v>159</v>
      </c>
      <c r="B29" s="7" t="s">
        <v>128</v>
      </c>
      <c r="C29" s="7" t="s">
        <v>153</v>
      </c>
      <c r="D29" s="7" t="s">
        <v>160</v>
      </c>
      <c r="E29" s="7" t="s">
        <v>143</v>
      </c>
      <c r="F29" s="7" t="s">
        <v>53</v>
      </c>
      <c r="G29" s="7"/>
      <c r="H29" s="7" t="s">
        <v>161</v>
      </c>
      <c r="I29" s="7" t="s">
        <v>99</v>
      </c>
      <c r="J29" s="8" t="s">
        <v>55</v>
      </c>
      <c r="K29" s="9" t="n">
        <v>0</v>
      </c>
      <c r="L29" s="10"/>
      <c r="M29" s="8"/>
      <c r="N29" s="8"/>
    </row>
    <row r="30" customFormat="false" ht="23.25" hidden="false" customHeight="true" outlineLevel="0" collapsed="false">
      <c r="A30" s="7" t="s">
        <v>162</v>
      </c>
      <c r="B30" s="7" t="s">
        <v>128</v>
      </c>
      <c r="C30" s="7" t="s">
        <v>153</v>
      </c>
      <c r="D30" s="7" t="s">
        <v>163</v>
      </c>
      <c r="E30" s="7" t="s">
        <v>164</v>
      </c>
      <c r="F30" s="7" t="s">
        <v>59</v>
      </c>
      <c r="G30" s="7"/>
      <c r="H30" s="7" t="s">
        <v>165</v>
      </c>
      <c r="I30" s="7" t="s">
        <v>166</v>
      </c>
      <c r="J30" s="8" t="s">
        <v>55</v>
      </c>
      <c r="K30" s="9" t="n">
        <v>0</v>
      </c>
      <c r="L30" s="10"/>
      <c r="M30" s="8"/>
      <c r="N30" s="8"/>
    </row>
    <row r="31" customFormat="false" ht="15" hidden="false" customHeight="true" outlineLevel="0" collapsed="false">
      <c r="A31" s="7" t="s">
        <v>167</v>
      </c>
      <c r="B31" s="7" t="s">
        <v>128</v>
      </c>
      <c r="C31" s="7" t="s">
        <v>168</v>
      </c>
      <c r="D31" s="7" t="s">
        <v>169</v>
      </c>
      <c r="E31" s="7" t="s">
        <v>170</v>
      </c>
      <c r="F31" s="7" t="s">
        <v>59</v>
      </c>
      <c r="G31" s="7"/>
      <c r="H31" s="7"/>
      <c r="I31" s="7" t="s">
        <v>171</v>
      </c>
      <c r="J31" s="8" t="s">
        <v>55</v>
      </c>
      <c r="K31" s="9" t="n">
        <v>0</v>
      </c>
      <c r="L31" s="10"/>
      <c r="M31" s="8"/>
      <c r="N31" s="8"/>
    </row>
    <row r="32" customFormat="false" ht="23.25" hidden="false" customHeight="true" outlineLevel="0" collapsed="false">
      <c r="A32" s="7" t="s">
        <v>172</v>
      </c>
      <c r="B32" s="7" t="s">
        <v>128</v>
      </c>
      <c r="C32" s="7" t="s">
        <v>168</v>
      </c>
      <c r="D32" s="7" t="s">
        <v>173</v>
      </c>
      <c r="E32" s="7" t="s">
        <v>170</v>
      </c>
      <c r="F32" s="7" t="s">
        <v>174</v>
      </c>
      <c r="G32" s="7" t="s">
        <v>175</v>
      </c>
      <c r="H32" s="7"/>
      <c r="I32" s="7" t="s">
        <v>176</v>
      </c>
      <c r="J32" s="8" t="s">
        <v>55</v>
      </c>
      <c r="K32" s="9" t="n">
        <v>0</v>
      </c>
      <c r="L32" s="10"/>
      <c r="M32" s="8"/>
      <c r="N32" s="8"/>
    </row>
    <row r="33" customFormat="false" ht="23.25" hidden="false" customHeight="true" outlineLevel="0" collapsed="false">
      <c r="A33" s="7" t="s">
        <v>177</v>
      </c>
      <c r="B33" s="7" t="s">
        <v>128</v>
      </c>
      <c r="C33" s="7" t="s">
        <v>168</v>
      </c>
      <c r="D33" s="7" t="s">
        <v>178</v>
      </c>
      <c r="E33" s="7" t="s">
        <v>170</v>
      </c>
      <c r="F33" s="7" t="s">
        <v>59</v>
      </c>
      <c r="G33" s="7"/>
      <c r="H33" s="7"/>
      <c r="I33" s="7" t="s">
        <v>81</v>
      </c>
      <c r="J33" s="8" t="s">
        <v>55</v>
      </c>
      <c r="K33" s="9" t="n">
        <v>0</v>
      </c>
      <c r="L33" s="10"/>
      <c r="M33" s="8"/>
      <c r="N33" s="8"/>
    </row>
    <row r="34" customFormat="false" ht="23.25" hidden="false" customHeight="true" outlineLevel="0" collapsed="false">
      <c r="A34" s="7" t="s">
        <v>179</v>
      </c>
      <c r="B34" s="7" t="s">
        <v>128</v>
      </c>
      <c r="C34" s="7" t="s">
        <v>168</v>
      </c>
      <c r="D34" s="7" t="s">
        <v>180</v>
      </c>
      <c r="E34" s="7" t="s">
        <v>170</v>
      </c>
      <c r="F34" s="7" t="s">
        <v>53</v>
      </c>
      <c r="G34" s="7"/>
      <c r="H34" s="7"/>
      <c r="I34" s="7" t="s">
        <v>99</v>
      </c>
      <c r="J34" s="8" t="s">
        <v>55</v>
      </c>
      <c r="K34" s="9" t="n">
        <v>0</v>
      </c>
      <c r="L34" s="10"/>
      <c r="M34" s="8"/>
      <c r="N34" s="8"/>
    </row>
    <row r="35" customFormat="false" ht="23.25" hidden="false" customHeight="true" outlineLevel="0" collapsed="false">
      <c r="A35" s="7" t="s">
        <v>181</v>
      </c>
      <c r="B35" s="7" t="s">
        <v>128</v>
      </c>
      <c r="C35" s="7" t="s">
        <v>168</v>
      </c>
      <c r="D35" s="7" t="s">
        <v>182</v>
      </c>
      <c r="E35" s="7" t="s">
        <v>170</v>
      </c>
      <c r="F35" s="7" t="s">
        <v>59</v>
      </c>
      <c r="G35" s="7"/>
      <c r="H35" s="7"/>
      <c r="I35" s="7" t="s">
        <v>81</v>
      </c>
      <c r="J35" s="8" t="s">
        <v>55</v>
      </c>
      <c r="K35" s="9" t="n">
        <v>0</v>
      </c>
      <c r="L35" s="10"/>
      <c r="M35" s="8"/>
      <c r="N35" s="8"/>
    </row>
    <row r="36" customFormat="false" ht="23.25" hidden="false" customHeight="true" outlineLevel="0" collapsed="false">
      <c r="A36" s="7" t="s">
        <v>183</v>
      </c>
      <c r="B36" s="7" t="s">
        <v>128</v>
      </c>
      <c r="C36" s="7" t="s">
        <v>168</v>
      </c>
      <c r="D36" s="7" t="s">
        <v>184</v>
      </c>
      <c r="E36" s="7" t="s">
        <v>185</v>
      </c>
      <c r="F36" s="7" t="s">
        <v>59</v>
      </c>
      <c r="G36" s="7"/>
      <c r="H36" s="7"/>
      <c r="I36" s="7" t="s">
        <v>81</v>
      </c>
      <c r="J36" s="8" t="s">
        <v>55</v>
      </c>
      <c r="K36" s="9" t="n">
        <v>0</v>
      </c>
      <c r="L36" s="10"/>
      <c r="M36" s="8"/>
      <c r="N36" s="8"/>
    </row>
    <row r="37" customFormat="false" ht="23.25" hidden="false" customHeight="true" outlineLevel="0" collapsed="false">
      <c r="A37" s="7" t="s">
        <v>186</v>
      </c>
      <c r="B37" s="7" t="s">
        <v>128</v>
      </c>
      <c r="C37" s="7" t="s">
        <v>187</v>
      </c>
      <c r="D37" s="7" t="s">
        <v>188</v>
      </c>
      <c r="E37" s="7" t="s">
        <v>189</v>
      </c>
      <c r="F37" s="7" t="s">
        <v>59</v>
      </c>
      <c r="G37" s="7"/>
      <c r="H37" s="7"/>
      <c r="I37" s="7" t="s">
        <v>81</v>
      </c>
      <c r="J37" s="8" t="s">
        <v>55</v>
      </c>
      <c r="K37" s="9" t="n">
        <v>0</v>
      </c>
      <c r="L37" s="10"/>
      <c r="M37" s="8"/>
      <c r="N37" s="8"/>
    </row>
    <row r="38" customFormat="false" ht="23.25" hidden="false" customHeight="true" outlineLevel="0" collapsed="false">
      <c r="A38" s="7" t="s">
        <v>190</v>
      </c>
      <c r="B38" s="7" t="s">
        <v>128</v>
      </c>
      <c r="C38" s="7" t="s">
        <v>187</v>
      </c>
      <c r="D38" s="7" t="s">
        <v>191</v>
      </c>
      <c r="E38" s="7" t="s">
        <v>189</v>
      </c>
      <c r="F38" s="7" t="s">
        <v>59</v>
      </c>
      <c r="G38" s="7"/>
      <c r="H38" s="7"/>
      <c r="I38" s="7" t="s">
        <v>81</v>
      </c>
      <c r="J38" s="8" t="s">
        <v>55</v>
      </c>
      <c r="K38" s="9" t="n">
        <v>0</v>
      </c>
      <c r="L38" s="10"/>
      <c r="M38" s="8"/>
      <c r="N38" s="8"/>
    </row>
    <row r="39" customFormat="false" ht="23.25" hidden="false" customHeight="true" outlineLevel="0" collapsed="false">
      <c r="A39" s="7" t="s">
        <v>192</v>
      </c>
      <c r="B39" s="7" t="s">
        <v>128</v>
      </c>
      <c r="C39" s="7" t="s">
        <v>187</v>
      </c>
      <c r="D39" s="7" t="s">
        <v>193</v>
      </c>
      <c r="E39" s="7" t="s">
        <v>189</v>
      </c>
      <c r="F39" s="7" t="s">
        <v>174</v>
      </c>
      <c r="G39" s="7" t="s">
        <v>194</v>
      </c>
      <c r="H39" s="7" t="s">
        <v>195</v>
      </c>
      <c r="I39" s="7" t="s">
        <v>196</v>
      </c>
      <c r="J39" s="8" t="s">
        <v>55</v>
      </c>
      <c r="K39" s="9" t="n">
        <v>0</v>
      </c>
      <c r="L39" s="10"/>
      <c r="M39" s="8"/>
      <c r="N39" s="8"/>
    </row>
    <row r="40" customFormat="false" ht="23.25" hidden="false" customHeight="true" outlineLevel="0" collapsed="false">
      <c r="A40" s="7" t="s">
        <v>197</v>
      </c>
      <c r="B40" s="7" t="s">
        <v>128</v>
      </c>
      <c r="C40" s="7" t="s">
        <v>187</v>
      </c>
      <c r="D40" s="7" t="s">
        <v>198</v>
      </c>
      <c r="E40" s="7" t="s">
        <v>199</v>
      </c>
      <c r="F40" s="7" t="s">
        <v>59</v>
      </c>
      <c r="G40" s="7"/>
      <c r="H40" s="7"/>
      <c r="I40" s="7" t="s">
        <v>81</v>
      </c>
      <c r="J40" s="8" t="s">
        <v>55</v>
      </c>
      <c r="K40" s="9" t="n">
        <v>0</v>
      </c>
      <c r="L40" s="10"/>
      <c r="M40" s="8"/>
      <c r="N40" s="8"/>
    </row>
    <row r="41" customFormat="false" ht="23.25" hidden="false" customHeight="true" outlineLevel="0" collapsed="false">
      <c r="A41" s="7" t="s">
        <v>200</v>
      </c>
      <c r="B41" s="7" t="s">
        <v>128</v>
      </c>
      <c r="C41" s="7" t="s">
        <v>187</v>
      </c>
      <c r="D41" s="7" t="s">
        <v>201</v>
      </c>
      <c r="E41" s="7" t="s">
        <v>199</v>
      </c>
      <c r="F41" s="7" t="s">
        <v>59</v>
      </c>
      <c r="G41" s="7"/>
      <c r="H41" s="7"/>
      <c r="I41" s="7" t="s">
        <v>81</v>
      </c>
      <c r="J41" s="8" t="s">
        <v>55</v>
      </c>
      <c r="K41" s="9" t="n">
        <v>0</v>
      </c>
      <c r="L41" s="10"/>
      <c r="M41" s="8"/>
      <c r="N41" s="8"/>
    </row>
    <row r="42" customFormat="false" ht="23.25" hidden="false" customHeight="true" outlineLevel="0" collapsed="false">
      <c r="A42" s="7" t="s">
        <v>202</v>
      </c>
      <c r="B42" s="7" t="s">
        <v>128</v>
      </c>
      <c r="C42" s="7" t="s">
        <v>203</v>
      </c>
      <c r="D42" s="7" t="s">
        <v>204</v>
      </c>
      <c r="E42" s="7" t="s">
        <v>199</v>
      </c>
      <c r="F42" s="7" t="s">
        <v>59</v>
      </c>
      <c r="G42" s="7"/>
      <c r="H42" s="7"/>
      <c r="I42" s="7" t="s">
        <v>81</v>
      </c>
      <c r="J42" s="8" t="s">
        <v>55</v>
      </c>
      <c r="K42" s="9" t="n">
        <v>0</v>
      </c>
      <c r="L42" s="10"/>
      <c r="M42" s="8"/>
      <c r="N42" s="8"/>
    </row>
    <row r="43" customFormat="false" ht="15" hidden="false" customHeight="true" outlineLevel="0" collapsed="false">
      <c r="A43" s="7" t="s">
        <v>205</v>
      </c>
      <c r="B43" s="7" t="s">
        <v>128</v>
      </c>
      <c r="C43" s="7" t="s">
        <v>203</v>
      </c>
      <c r="D43" s="7" t="s">
        <v>206</v>
      </c>
      <c r="E43" s="7" t="s">
        <v>199</v>
      </c>
      <c r="F43" s="7" t="s">
        <v>59</v>
      </c>
      <c r="G43" s="7"/>
      <c r="H43" s="7" t="s">
        <v>207</v>
      </c>
      <c r="I43" s="7" t="s">
        <v>208</v>
      </c>
      <c r="J43" s="8" t="s">
        <v>55</v>
      </c>
      <c r="K43" s="9" t="n">
        <v>0</v>
      </c>
      <c r="L43" s="10"/>
      <c r="M43" s="8"/>
      <c r="N43" s="8"/>
    </row>
    <row r="44" customFormat="false" ht="23.25" hidden="false" customHeight="true" outlineLevel="0" collapsed="false">
      <c r="A44" s="7" t="s">
        <v>209</v>
      </c>
      <c r="B44" s="7" t="s">
        <v>128</v>
      </c>
      <c r="C44" s="7" t="s">
        <v>203</v>
      </c>
      <c r="D44" s="7" t="s">
        <v>210</v>
      </c>
      <c r="E44" s="7" t="s">
        <v>199</v>
      </c>
      <c r="F44" s="7" t="s">
        <v>59</v>
      </c>
      <c r="G44" s="7"/>
      <c r="H44" s="7"/>
      <c r="I44" s="7" t="s">
        <v>81</v>
      </c>
      <c r="J44" s="8" t="s">
        <v>55</v>
      </c>
      <c r="K44" s="9" t="n">
        <v>0</v>
      </c>
      <c r="L44" s="10"/>
      <c r="M44" s="8"/>
      <c r="N44" s="8"/>
    </row>
    <row r="45" customFormat="false" ht="23.25" hidden="false" customHeight="true" outlineLevel="0" collapsed="false">
      <c r="A45" s="7" t="s">
        <v>211</v>
      </c>
      <c r="B45" s="7" t="s">
        <v>128</v>
      </c>
      <c r="C45" s="7" t="s">
        <v>212</v>
      </c>
      <c r="D45" s="7" t="s">
        <v>213</v>
      </c>
      <c r="E45" s="7" t="s">
        <v>199</v>
      </c>
      <c r="F45" s="7" t="s">
        <v>59</v>
      </c>
      <c r="G45" s="7"/>
      <c r="H45" s="7"/>
      <c r="I45" s="7" t="s">
        <v>81</v>
      </c>
      <c r="J45" s="8" t="s">
        <v>55</v>
      </c>
      <c r="K45" s="9" t="n">
        <v>0</v>
      </c>
      <c r="L45" s="10"/>
      <c r="M45" s="8"/>
      <c r="N45" s="8"/>
    </row>
    <row r="46" customFormat="false" ht="23.25" hidden="false" customHeight="true" outlineLevel="0" collapsed="false">
      <c r="A46" s="7" t="s">
        <v>214</v>
      </c>
      <c r="B46" s="7" t="s">
        <v>128</v>
      </c>
      <c r="C46" s="7" t="s">
        <v>215</v>
      </c>
      <c r="D46" s="7" t="s">
        <v>216</v>
      </c>
      <c r="E46" s="7" t="s">
        <v>217</v>
      </c>
      <c r="F46" s="7" t="s">
        <v>59</v>
      </c>
      <c r="G46" s="7"/>
      <c r="H46" s="7"/>
      <c r="I46" s="7" t="s">
        <v>81</v>
      </c>
      <c r="J46" s="8" t="s">
        <v>55</v>
      </c>
      <c r="K46" s="9" t="n">
        <v>0</v>
      </c>
      <c r="L46" s="10"/>
      <c r="M46" s="8"/>
      <c r="N46" s="8"/>
    </row>
    <row r="47" customFormat="false" ht="23.25" hidden="false" customHeight="true" outlineLevel="0" collapsed="false">
      <c r="A47" s="7" t="s">
        <v>218</v>
      </c>
      <c r="B47" s="7" t="s">
        <v>128</v>
      </c>
      <c r="C47" s="7" t="s">
        <v>215</v>
      </c>
      <c r="D47" s="7" t="s">
        <v>219</v>
      </c>
      <c r="E47" s="7" t="s">
        <v>217</v>
      </c>
      <c r="F47" s="7" t="s">
        <v>53</v>
      </c>
      <c r="G47" s="7"/>
      <c r="H47" s="7"/>
      <c r="I47" s="7" t="s">
        <v>99</v>
      </c>
      <c r="J47" s="8" t="s">
        <v>55</v>
      </c>
      <c r="K47" s="9" t="n">
        <v>0</v>
      </c>
      <c r="L47" s="10"/>
      <c r="M47" s="8"/>
      <c r="N47" s="8"/>
    </row>
    <row r="48" customFormat="false" ht="23.25" hidden="false" customHeight="true" outlineLevel="0" collapsed="false">
      <c r="A48" s="7" t="s">
        <v>220</v>
      </c>
      <c r="B48" s="7" t="s">
        <v>128</v>
      </c>
      <c r="C48" s="7" t="s">
        <v>215</v>
      </c>
      <c r="D48" s="7" t="s">
        <v>221</v>
      </c>
      <c r="E48" s="7" t="s">
        <v>217</v>
      </c>
      <c r="F48" s="7" t="s">
        <v>59</v>
      </c>
      <c r="G48" s="7"/>
      <c r="H48" s="7"/>
      <c r="I48" s="7" t="s">
        <v>81</v>
      </c>
      <c r="J48" s="8" t="s">
        <v>55</v>
      </c>
      <c r="K48" s="9" t="n">
        <v>0</v>
      </c>
      <c r="L48" s="10"/>
      <c r="M48" s="8"/>
      <c r="N48" s="8"/>
    </row>
    <row r="49" customFormat="false" ht="23.25" hidden="false" customHeight="true" outlineLevel="0" collapsed="false">
      <c r="A49" s="7" t="s">
        <v>222</v>
      </c>
      <c r="B49" s="7" t="s">
        <v>128</v>
      </c>
      <c r="C49" s="7" t="s">
        <v>223</v>
      </c>
      <c r="D49" s="7" t="s">
        <v>224</v>
      </c>
      <c r="E49" s="7" t="s">
        <v>217</v>
      </c>
      <c r="F49" s="7" t="s">
        <v>59</v>
      </c>
      <c r="G49" s="7"/>
      <c r="H49" s="7"/>
      <c r="I49" s="7" t="s">
        <v>81</v>
      </c>
      <c r="J49" s="8" t="s">
        <v>55</v>
      </c>
      <c r="K49" s="9" t="n">
        <v>0</v>
      </c>
      <c r="L49" s="10"/>
      <c r="M49" s="8"/>
      <c r="N49" s="8"/>
    </row>
    <row r="50" customFormat="false" ht="23.25" hidden="false" customHeight="true" outlineLevel="0" collapsed="false">
      <c r="A50" s="7" t="s">
        <v>225</v>
      </c>
      <c r="B50" s="7" t="s">
        <v>128</v>
      </c>
      <c r="C50" s="7" t="s">
        <v>223</v>
      </c>
      <c r="D50" s="7" t="s">
        <v>226</v>
      </c>
      <c r="E50" s="7" t="s">
        <v>217</v>
      </c>
      <c r="F50" s="7" t="s">
        <v>59</v>
      </c>
      <c r="G50" s="7"/>
      <c r="H50" s="7"/>
      <c r="I50" s="7" t="s">
        <v>81</v>
      </c>
      <c r="J50" s="8" t="s">
        <v>55</v>
      </c>
      <c r="K50" s="9" t="n">
        <v>0</v>
      </c>
      <c r="L50" s="10"/>
      <c r="M50" s="8"/>
      <c r="N50" s="8"/>
    </row>
    <row r="51" customFormat="false" ht="23.25" hidden="false" customHeight="true" outlineLevel="0" collapsed="false">
      <c r="A51" s="7" t="s">
        <v>227</v>
      </c>
      <c r="B51" s="7" t="s">
        <v>128</v>
      </c>
      <c r="C51" s="7" t="s">
        <v>223</v>
      </c>
      <c r="D51" s="7" t="s">
        <v>228</v>
      </c>
      <c r="E51" s="7" t="s">
        <v>229</v>
      </c>
      <c r="F51" s="7" t="s">
        <v>59</v>
      </c>
      <c r="G51" s="7"/>
      <c r="H51" s="7"/>
      <c r="I51" s="7" t="s">
        <v>81</v>
      </c>
      <c r="J51" s="8" t="s">
        <v>55</v>
      </c>
      <c r="K51" s="9" t="n">
        <v>0</v>
      </c>
      <c r="L51" s="10"/>
      <c r="M51" s="8"/>
      <c r="N51" s="8"/>
    </row>
    <row r="52" customFormat="false" ht="23.25" hidden="false" customHeight="true" outlineLevel="0" collapsed="false">
      <c r="A52" s="7" t="s">
        <v>230</v>
      </c>
      <c r="B52" s="7" t="s">
        <v>128</v>
      </c>
      <c r="C52" s="7" t="s">
        <v>223</v>
      </c>
      <c r="D52" s="7" t="s">
        <v>231</v>
      </c>
      <c r="E52" s="7" t="s">
        <v>232</v>
      </c>
      <c r="F52" s="7" t="s">
        <v>59</v>
      </c>
      <c r="G52" s="7"/>
      <c r="H52" s="7"/>
      <c r="I52" s="7" t="s">
        <v>81</v>
      </c>
      <c r="J52" s="8" t="s">
        <v>55</v>
      </c>
      <c r="K52" s="9" t="n">
        <v>0</v>
      </c>
      <c r="L52" s="10"/>
      <c r="M52" s="8"/>
      <c r="N52" s="8"/>
    </row>
    <row r="53" customFormat="false" ht="23.25" hidden="false" customHeight="true" outlineLevel="0" collapsed="false">
      <c r="A53" s="7" t="s">
        <v>233</v>
      </c>
      <c r="B53" s="7" t="s">
        <v>128</v>
      </c>
      <c r="C53" s="7" t="s">
        <v>223</v>
      </c>
      <c r="D53" s="7" t="s">
        <v>234</v>
      </c>
      <c r="E53" s="7" t="s">
        <v>232</v>
      </c>
      <c r="F53" s="7" t="s">
        <v>59</v>
      </c>
      <c r="G53" s="7"/>
      <c r="H53" s="7"/>
      <c r="I53" s="7" t="s">
        <v>81</v>
      </c>
      <c r="J53" s="8" t="s">
        <v>55</v>
      </c>
      <c r="K53" s="9" t="n">
        <v>0</v>
      </c>
      <c r="L53" s="10"/>
      <c r="M53" s="8"/>
      <c r="N53" s="8"/>
    </row>
    <row r="54" customFormat="false" ht="15" hidden="false" customHeight="true" outlineLevel="0" collapsed="false">
      <c r="A54" s="7" t="s">
        <v>235</v>
      </c>
      <c r="B54" s="7" t="s">
        <v>128</v>
      </c>
      <c r="C54" s="7" t="s">
        <v>236</v>
      </c>
      <c r="D54" s="7" t="s">
        <v>237</v>
      </c>
      <c r="E54" s="7" t="s">
        <v>232</v>
      </c>
      <c r="F54" s="7" t="s">
        <v>59</v>
      </c>
      <c r="G54" s="7"/>
      <c r="H54" s="7"/>
      <c r="I54" s="7" t="s">
        <v>238</v>
      </c>
      <c r="J54" s="8" t="s">
        <v>55</v>
      </c>
      <c r="K54" s="9" t="n">
        <v>0</v>
      </c>
      <c r="L54" s="10"/>
      <c r="M54" s="8"/>
      <c r="N54" s="8"/>
    </row>
    <row r="55" customFormat="false" ht="23.25" hidden="false" customHeight="true" outlineLevel="0" collapsed="false">
      <c r="A55" s="7" t="s">
        <v>239</v>
      </c>
      <c r="B55" s="7" t="s">
        <v>128</v>
      </c>
      <c r="C55" s="7" t="s">
        <v>240</v>
      </c>
      <c r="D55" s="7" t="s">
        <v>241</v>
      </c>
      <c r="E55" s="7" t="s">
        <v>242</v>
      </c>
      <c r="F55" s="7" t="s">
        <v>59</v>
      </c>
      <c r="G55" s="7"/>
      <c r="H55" s="7"/>
      <c r="I55" s="7" t="s">
        <v>81</v>
      </c>
      <c r="J55" s="8" t="s">
        <v>55</v>
      </c>
      <c r="K55" s="9" t="n">
        <v>0</v>
      </c>
      <c r="L55" s="10"/>
      <c r="M55" s="8"/>
      <c r="N55" s="8"/>
    </row>
    <row r="56" customFormat="false" ht="23.25" hidden="false" customHeight="true" outlineLevel="0" collapsed="false">
      <c r="A56" s="7" t="s">
        <v>243</v>
      </c>
      <c r="B56" s="7" t="s">
        <v>128</v>
      </c>
      <c r="C56" s="7" t="s">
        <v>240</v>
      </c>
      <c r="D56" s="7" t="s">
        <v>244</v>
      </c>
      <c r="E56" s="7" t="s">
        <v>245</v>
      </c>
      <c r="F56" s="7" t="s">
        <v>59</v>
      </c>
      <c r="G56" s="7"/>
      <c r="H56" s="7"/>
      <c r="I56" s="7" t="s">
        <v>81</v>
      </c>
      <c r="J56" s="8" t="s">
        <v>55</v>
      </c>
      <c r="K56" s="9" t="n">
        <v>0</v>
      </c>
      <c r="L56" s="10"/>
      <c r="M56" s="8"/>
      <c r="N56" s="8"/>
    </row>
    <row r="57" customFormat="false" ht="23.25" hidden="false" customHeight="true" outlineLevel="0" collapsed="false">
      <c r="A57" s="7" t="s">
        <v>246</v>
      </c>
      <c r="B57" s="7" t="s">
        <v>128</v>
      </c>
      <c r="C57" s="7" t="s">
        <v>240</v>
      </c>
      <c r="D57" s="7" t="s">
        <v>247</v>
      </c>
      <c r="E57" s="7" t="s">
        <v>245</v>
      </c>
      <c r="F57" s="7" t="s">
        <v>59</v>
      </c>
      <c r="G57" s="7"/>
      <c r="H57" s="7"/>
      <c r="I57" s="7" t="s">
        <v>81</v>
      </c>
      <c r="J57" s="8" t="s">
        <v>55</v>
      </c>
      <c r="K57" s="9" t="n">
        <v>0</v>
      </c>
      <c r="L57" s="10"/>
      <c r="M57" s="8"/>
      <c r="N57" s="8"/>
    </row>
    <row r="58" customFormat="false" ht="23.25" hidden="false" customHeight="true" outlineLevel="0" collapsed="false">
      <c r="A58" s="7" t="s">
        <v>248</v>
      </c>
      <c r="B58" s="7" t="s">
        <v>128</v>
      </c>
      <c r="C58" s="7" t="s">
        <v>240</v>
      </c>
      <c r="D58" s="7" t="s">
        <v>249</v>
      </c>
      <c r="E58" s="7" t="s">
        <v>245</v>
      </c>
      <c r="F58" s="7" t="s">
        <v>53</v>
      </c>
      <c r="G58" s="7"/>
      <c r="H58" s="7"/>
      <c r="I58" s="7" t="s">
        <v>99</v>
      </c>
      <c r="J58" s="8" t="s">
        <v>55</v>
      </c>
      <c r="K58" s="9" t="n">
        <v>0</v>
      </c>
      <c r="L58" s="10"/>
      <c r="M58" s="8"/>
      <c r="N58" s="8"/>
    </row>
    <row r="59" customFormat="false" ht="15" hidden="false" customHeight="true" outlineLevel="0" collapsed="false">
      <c r="A59" s="7" t="s">
        <v>250</v>
      </c>
      <c r="B59" s="7" t="s">
        <v>251</v>
      </c>
      <c r="C59" s="7" t="s">
        <v>114</v>
      </c>
      <c r="D59" s="7" t="s">
        <v>252</v>
      </c>
      <c r="E59" s="7" t="s">
        <v>253</v>
      </c>
      <c r="F59" s="7" t="s">
        <v>53</v>
      </c>
      <c r="G59" s="7"/>
      <c r="H59" s="7" t="s">
        <v>254</v>
      </c>
      <c r="I59" s="7" t="s">
        <v>255</v>
      </c>
      <c r="J59" s="8" t="s">
        <v>55</v>
      </c>
      <c r="K59" s="9" t="n">
        <v>0</v>
      </c>
      <c r="L59" s="10"/>
      <c r="M59" s="8"/>
      <c r="N59" s="8"/>
    </row>
    <row r="60" customFormat="false" ht="23.25" hidden="false" customHeight="true" outlineLevel="0" collapsed="false">
      <c r="A60" s="7" t="s">
        <v>256</v>
      </c>
      <c r="B60" s="7" t="s">
        <v>251</v>
      </c>
      <c r="C60" s="7" t="s">
        <v>257</v>
      </c>
      <c r="D60" s="7" t="s">
        <v>258</v>
      </c>
      <c r="E60" s="7" t="s">
        <v>259</v>
      </c>
      <c r="F60" s="7" t="s">
        <v>53</v>
      </c>
      <c r="G60" s="7"/>
      <c r="H60" s="7"/>
      <c r="I60" s="7" t="s">
        <v>99</v>
      </c>
      <c r="J60" s="8" t="s">
        <v>55</v>
      </c>
      <c r="K60" s="9" t="n">
        <v>0</v>
      </c>
      <c r="L60" s="10"/>
      <c r="M60" s="8"/>
      <c r="N60" s="8"/>
    </row>
    <row r="61" customFormat="false" ht="23.25" hidden="false" customHeight="true" outlineLevel="0" collapsed="false">
      <c r="A61" s="7" t="s">
        <v>260</v>
      </c>
      <c r="B61" s="7" t="s">
        <v>251</v>
      </c>
      <c r="C61" s="7" t="s">
        <v>261</v>
      </c>
      <c r="D61" s="7" t="s">
        <v>262</v>
      </c>
      <c r="E61" s="7" t="s">
        <v>253</v>
      </c>
      <c r="F61" s="7" t="s">
        <v>59</v>
      </c>
      <c r="G61" s="7"/>
      <c r="H61" s="7" t="s">
        <v>263</v>
      </c>
      <c r="I61" s="7" t="s">
        <v>264</v>
      </c>
      <c r="J61" s="8" t="s">
        <v>55</v>
      </c>
      <c r="K61" s="9" t="n">
        <v>0</v>
      </c>
      <c r="L61" s="10"/>
      <c r="M61" s="8"/>
      <c r="N61" s="8"/>
    </row>
    <row r="62" customFormat="false" ht="23.25" hidden="false" customHeight="true" outlineLevel="0" collapsed="false">
      <c r="A62" s="7" t="s">
        <v>265</v>
      </c>
      <c r="B62" s="7" t="s">
        <v>251</v>
      </c>
      <c r="C62" s="7" t="s">
        <v>261</v>
      </c>
      <c r="D62" s="7" t="s">
        <v>266</v>
      </c>
      <c r="E62" s="7" t="s">
        <v>267</v>
      </c>
      <c r="F62" s="7" t="s">
        <v>174</v>
      </c>
      <c r="G62" s="7" t="s">
        <v>268</v>
      </c>
      <c r="H62" s="7" t="s">
        <v>269</v>
      </c>
      <c r="I62" s="7" t="s">
        <v>270</v>
      </c>
      <c r="J62" s="8" t="s">
        <v>55</v>
      </c>
      <c r="K62" s="9" t="n">
        <v>0</v>
      </c>
      <c r="L62" s="10"/>
      <c r="M62" s="8"/>
      <c r="N62" s="8"/>
    </row>
    <row r="63" customFormat="false" ht="23.25" hidden="false" customHeight="true" outlineLevel="0" collapsed="false">
      <c r="A63" s="7" t="s">
        <v>271</v>
      </c>
      <c r="B63" s="7" t="s">
        <v>251</v>
      </c>
      <c r="C63" s="7" t="s">
        <v>272</v>
      </c>
      <c r="D63" s="7" t="s">
        <v>273</v>
      </c>
      <c r="E63" s="7" t="s">
        <v>274</v>
      </c>
      <c r="F63" s="7" t="s">
        <v>59</v>
      </c>
      <c r="G63" s="7"/>
      <c r="H63" s="7"/>
      <c r="I63" s="7" t="s">
        <v>81</v>
      </c>
      <c r="J63" s="8" t="s">
        <v>55</v>
      </c>
      <c r="K63" s="9" t="n">
        <v>0</v>
      </c>
      <c r="L63" s="10"/>
      <c r="M63" s="8"/>
      <c r="N63" s="8"/>
    </row>
    <row r="64" customFormat="false" ht="23.25" hidden="false" customHeight="true" outlineLevel="0" collapsed="false">
      <c r="A64" s="7" t="s">
        <v>275</v>
      </c>
      <c r="B64" s="7" t="s">
        <v>251</v>
      </c>
      <c r="C64" s="7" t="s">
        <v>276</v>
      </c>
      <c r="D64" s="7" t="s">
        <v>277</v>
      </c>
      <c r="E64" s="7" t="s">
        <v>274</v>
      </c>
      <c r="F64" s="7" t="s">
        <v>53</v>
      </c>
      <c r="G64" s="7"/>
      <c r="H64" s="7"/>
      <c r="I64" s="7" t="s">
        <v>99</v>
      </c>
      <c r="J64" s="8" t="s">
        <v>55</v>
      </c>
      <c r="K64" s="9" t="n">
        <v>0</v>
      </c>
      <c r="L64" s="10"/>
      <c r="M64" s="8"/>
      <c r="N64" s="8"/>
    </row>
    <row r="65" customFormat="false" ht="23.25" hidden="false" customHeight="true" outlineLevel="0" collapsed="false">
      <c r="A65" s="7" t="s">
        <v>278</v>
      </c>
      <c r="B65" s="7" t="s">
        <v>251</v>
      </c>
      <c r="C65" s="7" t="s">
        <v>279</v>
      </c>
      <c r="D65" s="7" t="s">
        <v>280</v>
      </c>
      <c r="E65" s="7" t="s">
        <v>274</v>
      </c>
      <c r="F65" s="7" t="s">
        <v>59</v>
      </c>
      <c r="G65" s="7"/>
      <c r="H65" s="7"/>
      <c r="I65" s="7" t="s">
        <v>281</v>
      </c>
      <c r="J65" s="8" t="s">
        <v>55</v>
      </c>
      <c r="K65" s="9" t="n">
        <v>0</v>
      </c>
      <c r="L65" s="10"/>
      <c r="M65" s="8"/>
      <c r="N65" s="8"/>
    </row>
    <row r="66" customFormat="false" ht="23.25" hidden="false" customHeight="true" outlineLevel="0" collapsed="false">
      <c r="A66" s="7" t="s">
        <v>282</v>
      </c>
      <c r="B66" s="7" t="s">
        <v>251</v>
      </c>
      <c r="C66" s="7" t="s">
        <v>283</v>
      </c>
      <c r="D66" s="7" t="s">
        <v>284</v>
      </c>
      <c r="E66" s="7" t="s">
        <v>274</v>
      </c>
      <c r="F66" s="7" t="s">
        <v>59</v>
      </c>
      <c r="G66" s="7"/>
      <c r="H66" s="7"/>
      <c r="I66" s="7" t="s">
        <v>81</v>
      </c>
      <c r="J66" s="8" t="s">
        <v>55</v>
      </c>
      <c r="K66" s="9" t="n">
        <v>0</v>
      </c>
      <c r="L66" s="10"/>
      <c r="M66" s="8"/>
      <c r="N66" s="8"/>
    </row>
    <row r="67" customFormat="false" ht="23.25" hidden="false" customHeight="true" outlineLevel="0" collapsed="false">
      <c r="A67" s="7" t="s">
        <v>285</v>
      </c>
      <c r="B67" s="7" t="s">
        <v>251</v>
      </c>
      <c r="C67" s="7" t="s">
        <v>283</v>
      </c>
      <c r="D67" s="7" t="s">
        <v>286</v>
      </c>
      <c r="E67" s="7" t="s">
        <v>274</v>
      </c>
      <c r="F67" s="7" t="s">
        <v>53</v>
      </c>
      <c r="G67" s="7"/>
      <c r="H67" s="7"/>
      <c r="I67" s="7" t="s">
        <v>99</v>
      </c>
      <c r="J67" s="8" t="s">
        <v>55</v>
      </c>
      <c r="K67" s="9" t="n">
        <v>0</v>
      </c>
      <c r="L67" s="10"/>
      <c r="M67" s="8"/>
      <c r="N67" s="8"/>
    </row>
    <row r="68" customFormat="false" ht="23.25" hidden="false" customHeight="true" outlineLevel="0" collapsed="false">
      <c r="A68" s="7" t="s">
        <v>287</v>
      </c>
      <c r="B68" s="7" t="s">
        <v>251</v>
      </c>
      <c r="C68" s="7" t="s">
        <v>283</v>
      </c>
      <c r="D68" s="7" t="s">
        <v>288</v>
      </c>
      <c r="E68" s="7" t="s">
        <v>274</v>
      </c>
      <c r="F68" s="7" t="s">
        <v>53</v>
      </c>
      <c r="G68" s="7"/>
      <c r="H68" s="7"/>
      <c r="I68" s="7" t="s">
        <v>99</v>
      </c>
      <c r="J68" s="8" t="s">
        <v>55</v>
      </c>
      <c r="K68" s="9" t="n">
        <v>0</v>
      </c>
      <c r="L68" s="10"/>
      <c r="M68" s="8"/>
      <c r="N68" s="8"/>
    </row>
    <row r="69" customFormat="false" ht="23.25" hidden="false" customHeight="true" outlineLevel="0" collapsed="false">
      <c r="A69" s="7" t="s">
        <v>289</v>
      </c>
      <c r="B69" s="7" t="s">
        <v>251</v>
      </c>
      <c r="C69" s="7" t="s">
        <v>290</v>
      </c>
      <c r="D69" s="7" t="s">
        <v>291</v>
      </c>
      <c r="E69" s="7" t="s">
        <v>292</v>
      </c>
      <c r="F69" s="7" t="s">
        <v>59</v>
      </c>
      <c r="G69" s="7"/>
      <c r="H69" s="7"/>
      <c r="I69" s="7" t="s">
        <v>81</v>
      </c>
      <c r="J69" s="8" t="s">
        <v>55</v>
      </c>
      <c r="K69" s="9" t="n">
        <v>0</v>
      </c>
      <c r="L69" s="10"/>
      <c r="M69" s="8"/>
      <c r="N69" s="8"/>
    </row>
    <row r="70" customFormat="false" ht="23.25" hidden="false" customHeight="true" outlineLevel="0" collapsed="false">
      <c r="A70" s="7" t="s">
        <v>293</v>
      </c>
      <c r="B70" s="7" t="s">
        <v>251</v>
      </c>
      <c r="C70" s="7" t="s">
        <v>290</v>
      </c>
      <c r="D70" s="7" t="s">
        <v>294</v>
      </c>
      <c r="E70" s="7" t="s">
        <v>292</v>
      </c>
      <c r="F70" s="7" t="s">
        <v>59</v>
      </c>
      <c r="G70" s="7"/>
      <c r="H70" s="7"/>
      <c r="I70" s="7" t="s">
        <v>81</v>
      </c>
      <c r="J70" s="8" t="s">
        <v>55</v>
      </c>
      <c r="K70" s="9" t="n">
        <v>0</v>
      </c>
      <c r="L70" s="10"/>
      <c r="M70" s="8"/>
      <c r="N70" s="8"/>
    </row>
    <row r="71" customFormat="false" ht="15" hidden="false" customHeight="true" outlineLevel="0" collapsed="false">
      <c r="A71" s="7" t="s">
        <v>295</v>
      </c>
      <c r="B71" s="7" t="s">
        <v>251</v>
      </c>
      <c r="C71" s="7" t="s">
        <v>296</v>
      </c>
      <c r="D71" s="7" t="s">
        <v>297</v>
      </c>
      <c r="E71" s="7" t="s">
        <v>292</v>
      </c>
      <c r="F71" s="7" t="s">
        <v>59</v>
      </c>
      <c r="G71" s="7"/>
      <c r="H71" s="7" t="s">
        <v>298</v>
      </c>
      <c r="I71" s="7" t="s">
        <v>299</v>
      </c>
      <c r="J71" s="8" t="s">
        <v>55</v>
      </c>
      <c r="K71" s="9" t="n">
        <v>0</v>
      </c>
      <c r="L71" s="10"/>
      <c r="M71" s="8"/>
      <c r="N71" s="8"/>
    </row>
    <row r="72" customFormat="false" ht="23.25" hidden="false" customHeight="true" outlineLevel="0" collapsed="false">
      <c r="A72" s="7" t="s">
        <v>300</v>
      </c>
      <c r="B72" s="7" t="s">
        <v>251</v>
      </c>
      <c r="C72" s="7" t="s">
        <v>301</v>
      </c>
      <c r="D72" s="7" t="s">
        <v>302</v>
      </c>
      <c r="E72" s="7" t="s">
        <v>292</v>
      </c>
      <c r="F72" s="7" t="s">
        <v>59</v>
      </c>
      <c r="G72" s="7"/>
      <c r="H72" s="7"/>
      <c r="I72" s="7" t="s">
        <v>81</v>
      </c>
      <c r="J72" s="8" t="s">
        <v>55</v>
      </c>
      <c r="K72" s="9" t="n">
        <v>0</v>
      </c>
      <c r="L72" s="10"/>
      <c r="M72" s="8"/>
      <c r="N72" s="8"/>
    </row>
    <row r="73" customFormat="false" ht="23.25" hidden="false" customHeight="true" outlineLevel="0" collapsed="false">
      <c r="A73" s="7" t="s">
        <v>303</v>
      </c>
      <c r="B73" s="7" t="s">
        <v>251</v>
      </c>
      <c r="C73" s="7" t="s">
        <v>304</v>
      </c>
      <c r="D73" s="7" t="s">
        <v>305</v>
      </c>
      <c r="E73" s="7" t="s">
        <v>292</v>
      </c>
      <c r="F73" s="7" t="s">
        <v>59</v>
      </c>
      <c r="G73" s="7"/>
      <c r="H73" s="7"/>
      <c r="I73" s="7" t="s">
        <v>81</v>
      </c>
      <c r="J73" s="8" t="s">
        <v>55</v>
      </c>
      <c r="K73" s="9" t="n">
        <v>0</v>
      </c>
      <c r="L73" s="10"/>
      <c r="M73" s="8"/>
      <c r="N73" s="8"/>
    </row>
    <row r="74" customFormat="false" ht="23.25" hidden="false" customHeight="true" outlineLevel="0" collapsed="false">
      <c r="A74" s="7" t="s">
        <v>306</v>
      </c>
      <c r="B74" s="7" t="s">
        <v>251</v>
      </c>
      <c r="C74" s="7" t="s">
        <v>307</v>
      </c>
      <c r="D74" s="7" t="s">
        <v>308</v>
      </c>
      <c r="E74" s="7" t="s">
        <v>259</v>
      </c>
      <c r="F74" s="7" t="s">
        <v>59</v>
      </c>
      <c r="G74" s="7"/>
      <c r="H74" s="7"/>
      <c r="I74" s="7" t="s">
        <v>81</v>
      </c>
      <c r="J74" s="8" t="s">
        <v>55</v>
      </c>
      <c r="K74" s="9" t="n">
        <v>0</v>
      </c>
      <c r="L74" s="10"/>
      <c r="M74" s="8"/>
      <c r="N74" s="8"/>
    </row>
    <row r="75" customFormat="false" ht="23.25" hidden="false" customHeight="true" outlineLevel="0" collapsed="false">
      <c r="A75" s="7" t="s">
        <v>309</v>
      </c>
      <c r="B75" s="7" t="s">
        <v>251</v>
      </c>
      <c r="C75" s="7" t="s">
        <v>310</v>
      </c>
      <c r="D75" s="7" t="s">
        <v>311</v>
      </c>
      <c r="E75" s="7" t="s">
        <v>259</v>
      </c>
      <c r="F75" s="7" t="s">
        <v>59</v>
      </c>
      <c r="G75" s="7"/>
      <c r="H75" s="7"/>
      <c r="I75" s="7" t="s">
        <v>81</v>
      </c>
      <c r="J75" s="8" t="s">
        <v>55</v>
      </c>
      <c r="K75" s="9" t="n">
        <v>0</v>
      </c>
      <c r="L75" s="10"/>
      <c r="M75" s="8"/>
      <c r="N75" s="8"/>
    </row>
    <row r="76" customFormat="false" ht="15" hidden="false" customHeight="true" outlineLevel="0" collapsed="false">
      <c r="A76" s="7" t="s">
        <v>312</v>
      </c>
      <c r="B76" s="7" t="s">
        <v>313</v>
      </c>
      <c r="C76" s="7" t="s">
        <v>314</v>
      </c>
      <c r="D76" s="7" t="s">
        <v>315</v>
      </c>
      <c r="E76" s="7" t="s">
        <v>316</v>
      </c>
      <c r="F76" s="7" t="s">
        <v>59</v>
      </c>
      <c r="G76" s="7"/>
      <c r="H76" s="7"/>
      <c r="I76" s="7" t="s">
        <v>317</v>
      </c>
      <c r="J76" s="8" t="s">
        <v>55</v>
      </c>
      <c r="K76" s="9" t="n">
        <v>0</v>
      </c>
      <c r="L76" s="10"/>
      <c r="M76" s="8"/>
      <c r="N76" s="8"/>
    </row>
    <row r="77" customFormat="false" ht="15" hidden="false" customHeight="true" outlineLevel="0" collapsed="false">
      <c r="A77" s="7" t="s">
        <v>318</v>
      </c>
      <c r="B77" s="7" t="s">
        <v>313</v>
      </c>
      <c r="C77" s="7" t="s">
        <v>319</v>
      </c>
      <c r="D77" s="7" t="s">
        <v>320</v>
      </c>
      <c r="E77" s="7" t="s">
        <v>316</v>
      </c>
      <c r="F77" s="7" t="s">
        <v>174</v>
      </c>
      <c r="G77" s="7" t="s">
        <v>321</v>
      </c>
      <c r="H77" s="7" t="s">
        <v>322</v>
      </c>
      <c r="I77" s="7" t="s">
        <v>323</v>
      </c>
      <c r="J77" s="8" t="s">
        <v>55</v>
      </c>
      <c r="K77" s="9" t="n">
        <v>0</v>
      </c>
      <c r="L77" s="10"/>
      <c r="M77" s="8"/>
      <c r="N77" s="8"/>
    </row>
    <row r="78" customFormat="false" ht="15" hidden="false" customHeight="true" outlineLevel="0" collapsed="false">
      <c r="A78" s="7" t="s">
        <v>324</v>
      </c>
      <c r="B78" s="7" t="s">
        <v>313</v>
      </c>
      <c r="C78" s="7" t="s">
        <v>319</v>
      </c>
      <c r="D78" s="7" t="s">
        <v>325</v>
      </c>
      <c r="E78" s="7" t="s">
        <v>316</v>
      </c>
      <c r="F78" s="7" t="s">
        <v>59</v>
      </c>
      <c r="G78" s="7"/>
      <c r="H78" s="7"/>
      <c r="I78" s="7" t="s">
        <v>326</v>
      </c>
      <c r="J78" s="8" t="s">
        <v>55</v>
      </c>
      <c r="K78" s="9" t="n">
        <v>0</v>
      </c>
      <c r="L78" s="10"/>
      <c r="M78" s="8"/>
      <c r="N78" s="8"/>
    </row>
    <row r="79" customFormat="false" ht="23.25" hidden="false" customHeight="true" outlineLevel="0" collapsed="false">
      <c r="A79" s="7" t="s">
        <v>327</v>
      </c>
      <c r="B79" s="7" t="s">
        <v>313</v>
      </c>
      <c r="C79" s="7" t="s">
        <v>328</v>
      </c>
      <c r="D79" s="7" t="s">
        <v>329</v>
      </c>
      <c r="E79" s="7" t="s">
        <v>316</v>
      </c>
      <c r="F79" s="7" t="s">
        <v>53</v>
      </c>
      <c r="G79" s="7"/>
      <c r="H79" s="7"/>
      <c r="I79" s="7" t="s">
        <v>99</v>
      </c>
      <c r="J79" s="8" t="s">
        <v>55</v>
      </c>
      <c r="K79" s="9" t="n">
        <v>0</v>
      </c>
      <c r="L79" s="10"/>
      <c r="M79" s="8"/>
      <c r="N79" s="8"/>
    </row>
    <row r="80" customFormat="false" ht="23.25" hidden="false" customHeight="true" outlineLevel="0" collapsed="false">
      <c r="A80" s="7" t="s">
        <v>330</v>
      </c>
      <c r="B80" s="7" t="s">
        <v>313</v>
      </c>
      <c r="C80" s="7" t="s">
        <v>331</v>
      </c>
      <c r="D80" s="7" t="s">
        <v>332</v>
      </c>
      <c r="E80" s="7" t="s">
        <v>316</v>
      </c>
      <c r="F80" s="7" t="s">
        <v>59</v>
      </c>
      <c r="G80" s="7"/>
      <c r="H80" s="7" t="s">
        <v>333</v>
      </c>
      <c r="I80" s="7" t="s">
        <v>334</v>
      </c>
      <c r="J80" s="8" t="s">
        <v>55</v>
      </c>
      <c r="K80" s="9" t="n">
        <v>0</v>
      </c>
      <c r="L80" s="10"/>
      <c r="M80" s="8"/>
      <c r="N80" s="8"/>
    </row>
    <row r="81" customFormat="false" ht="23.25" hidden="false" customHeight="true" outlineLevel="0" collapsed="false">
      <c r="A81" s="7" t="s">
        <v>335</v>
      </c>
      <c r="B81" s="7" t="s">
        <v>313</v>
      </c>
      <c r="C81" s="7" t="s">
        <v>336</v>
      </c>
      <c r="D81" s="7" t="s">
        <v>337</v>
      </c>
      <c r="E81" s="7" t="s">
        <v>316</v>
      </c>
      <c r="F81" s="7" t="s">
        <v>59</v>
      </c>
      <c r="G81" s="7"/>
      <c r="H81" s="7" t="s">
        <v>338</v>
      </c>
      <c r="I81" s="7" t="s">
        <v>339</v>
      </c>
      <c r="J81" s="8" t="s">
        <v>55</v>
      </c>
      <c r="K81" s="9" t="n">
        <v>0</v>
      </c>
      <c r="L81" s="10"/>
      <c r="M81" s="8"/>
      <c r="N81" s="8"/>
    </row>
    <row r="82" customFormat="false" ht="15" hidden="false" customHeight="true" outlineLevel="0" collapsed="false">
      <c r="A82" s="7" t="s">
        <v>340</v>
      </c>
      <c r="B82" s="7" t="s">
        <v>313</v>
      </c>
      <c r="C82" s="7" t="s">
        <v>341</v>
      </c>
      <c r="D82" s="7" t="s">
        <v>342</v>
      </c>
      <c r="E82" s="7" t="s">
        <v>343</v>
      </c>
      <c r="F82" s="7" t="s">
        <v>59</v>
      </c>
      <c r="G82" s="7"/>
      <c r="H82" s="7" t="s">
        <v>344</v>
      </c>
      <c r="I82" s="7" t="s">
        <v>334</v>
      </c>
      <c r="J82" s="8" t="s">
        <v>55</v>
      </c>
      <c r="K82" s="9" t="n">
        <v>0</v>
      </c>
      <c r="L82" s="10"/>
      <c r="M82" s="8"/>
      <c r="N82" s="8"/>
    </row>
    <row r="83" customFormat="false" ht="15" hidden="false" customHeight="true" outlineLevel="0" collapsed="false">
      <c r="A83" s="7" t="s">
        <v>345</v>
      </c>
      <c r="B83" s="7" t="s">
        <v>313</v>
      </c>
      <c r="C83" s="7" t="s">
        <v>346</v>
      </c>
      <c r="D83" s="7" t="s">
        <v>347</v>
      </c>
      <c r="E83" s="7" t="s">
        <v>343</v>
      </c>
      <c r="F83" s="7" t="s">
        <v>174</v>
      </c>
      <c r="G83" s="7" t="s">
        <v>348</v>
      </c>
      <c r="H83" s="7" t="s">
        <v>349</v>
      </c>
      <c r="I83" s="7" t="s">
        <v>350</v>
      </c>
      <c r="J83" s="8" t="s">
        <v>55</v>
      </c>
      <c r="K83" s="9" t="n">
        <v>0</v>
      </c>
      <c r="L83" s="10"/>
      <c r="M83" s="8"/>
      <c r="N83" s="8"/>
    </row>
    <row r="84" customFormat="false" ht="15" hidden="false" customHeight="true" outlineLevel="0" collapsed="false">
      <c r="A84" s="7" t="s">
        <v>351</v>
      </c>
      <c r="B84" s="7" t="s">
        <v>313</v>
      </c>
      <c r="C84" s="7" t="s">
        <v>352</v>
      </c>
      <c r="D84" s="7" t="s">
        <v>353</v>
      </c>
      <c r="E84" s="7" t="s">
        <v>343</v>
      </c>
      <c r="F84" s="7" t="s">
        <v>59</v>
      </c>
      <c r="G84" s="7"/>
      <c r="H84" s="7" t="s">
        <v>354</v>
      </c>
      <c r="I84" s="7" t="s">
        <v>355</v>
      </c>
      <c r="J84" s="8" t="s">
        <v>55</v>
      </c>
      <c r="K84" s="9" t="n">
        <v>0</v>
      </c>
      <c r="L84" s="10"/>
      <c r="M84" s="8"/>
      <c r="N84" s="8"/>
    </row>
    <row r="85" customFormat="false" ht="23.25" hidden="false" customHeight="true" outlineLevel="0" collapsed="false">
      <c r="A85" s="7" t="s">
        <v>356</v>
      </c>
      <c r="B85" s="7" t="s">
        <v>313</v>
      </c>
      <c r="C85" s="7" t="s">
        <v>357</v>
      </c>
      <c r="D85" s="7" t="s">
        <v>358</v>
      </c>
      <c r="E85" s="7" t="s">
        <v>343</v>
      </c>
      <c r="F85" s="7" t="s">
        <v>59</v>
      </c>
      <c r="G85" s="7"/>
      <c r="H85" s="7"/>
      <c r="I85" s="7" t="s">
        <v>81</v>
      </c>
      <c r="J85" s="8" t="s">
        <v>55</v>
      </c>
      <c r="K85" s="9" t="n">
        <v>0</v>
      </c>
      <c r="L85" s="10"/>
      <c r="M85" s="8"/>
      <c r="N85" s="8"/>
    </row>
    <row r="86" customFormat="false" ht="23.25" hidden="false" customHeight="true" outlineLevel="0" collapsed="false">
      <c r="A86" s="7" t="s">
        <v>359</v>
      </c>
      <c r="B86" s="7" t="s">
        <v>313</v>
      </c>
      <c r="C86" s="7" t="s">
        <v>87</v>
      </c>
      <c r="D86" s="7" t="s">
        <v>360</v>
      </c>
      <c r="E86" s="7" t="s">
        <v>343</v>
      </c>
      <c r="F86" s="7" t="s">
        <v>59</v>
      </c>
      <c r="G86" s="7"/>
      <c r="H86" s="7"/>
      <c r="I86" s="7" t="s">
        <v>81</v>
      </c>
      <c r="J86" s="8" t="s">
        <v>55</v>
      </c>
      <c r="K86" s="9" t="n">
        <v>0</v>
      </c>
      <c r="L86" s="10"/>
      <c r="M86" s="8"/>
      <c r="N86" s="8"/>
    </row>
    <row r="87" customFormat="false" ht="15" hidden="false" customHeight="true" outlineLevel="0" collapsed="false">
      <c r="A87" s="7" t="s">
        <v>361</v>
      </c>
      <c r="B87" s="7" t="s">
        <v>313</v>
      </c>
      <c r="C87" s="7" t="s">
        <v>362</v>
      </c>
      <c r="D87" s="7" t="s">
        <v>363</v>
      </c>
      <c r="E87" s="7" t="s">
        <v>364</v>
      </c>
      <c r="F87" s="7" t="s">
        <v>59</v>
      </c>
      <c r="G87" s="7"/>
      <c r="H87" s="7"/>
      <c r="I87" s="7" t="s">
        <v>355</v>
      </c>
      <c r="J87" s="8" t="s">
        <v>55</v>
      </c>
      <c r="K87" s="9" t="n">
        <v>0</v>
      </c>
      <c r="L87" s="10"/>
      <c r="M87" s="8"/>
      <c r="N87" s="8"/>
    </row>
    <row r="88" customFormat="false" ht="23.25" hidden="false" customHeight="true" outlineLevel="0" collapsed="false">
      <c r="A88" s="7" t="s">
        <v>365</v>
      </c>
      <c r="B88" s="7" t="s">
        <v>313</v>
      </c>
      <c r="C88" s="7" t="s">
        <v>362</v>
      </c>
      <c r="D88" s="7" t="s">
        <v>366</v>
      </c>
      <c r="E88" s="7" t="s">
        <v>367</v>
      </c>
      <c r="F88" s="7" t="s">
        <v>59</v>
      </c>
      <c r="G88" s="7"/>
      <c r="H88" s="7"/>
      <c r="I88" s="7" t="s">
        <v>81</v>
      </c>
      <c r="J88" s="8" t="s">
        <v>55</v>
      </c>
      <c r="K88" s="9" t="n">
        <v>0</v>
      </c>
      <c r="L88" s="10"/>
      <c r="M88" s="8"/>
      <c r="N88" s="8"/>
    </row>
    <row r="89" customFormat="false" ht="15" hidden="false" customHeight="true" outlineLevel="0" collapsed="false">
      <c r="A89" s="7" t="s">
        <v>368</v>
      </c>
      <c r="B89" s="7" t="s">
        <v>313</v>
      </c>
      <c r="C89" s="7" t="s">
        <v>369</v>
      </c>
      <c r="D89" s="7" t="s">
        <v>370</v>
      </c>
      <c r="E89" s="7" t="s">
        <v>367</v>
      </c>
      <c r="F89" s="7" t="s">
        <v>174</v>
      </c>
      <c r="G89" s="7" t="s">
        <v>371</v>
      </c>
      <c r="H89" s="7" t="s">
        <v>372</v>
      </c>
      <c r="I89" s="7" t="s">
        <v>373</v>
      </c>
      <c r="J89" s="8" t="s">
        <v>55</v>
      </c>
      <c r="K89" s="9" t="n">
        <v>0</v>
      </c>
      <c r="L89" s="10"/>
      <c r="M89" s="8"/>
      <c r="N89" s="8"/>
    </row>
    <row r="90" customFormat="false" ht="15" hidden="false" customHeight="true" outlineLevel="0" collapsed="false">
      <c r="A90" s="7" t="s">
        <v>374</v>
      </c>
      <c r="B90" s="7" t="s">
        <v>313</v>
      </c>
      <c r="C90" s="7" t="s">
        <v>375</v>
      </c>
      <c r="D90" s="7" t="s">
        <v>376</v>
      </c>
      <c r="E90" s="7" t="s">
        <v>367</v>
      </c>
      <c r="F90" s="7" t="s">
        <v>59</v>
      </c>
      <c r="G90" s="7"/>
      <c r="H90" s="7" t="s">
        <v>377</v>
      </c>
      <c r="I90" s="7" t="s">
        <v>334</v>
      </c>
      <c r="J90" s="8" t="s">
        <v>55</v>
      </c>
      <c r="K90" s="9" t="n">
        <v>0</v>
      </c>
      <c r="L90" s="10"/>
      <c r="M90" s="8"/>
      <c r="N90" s="8"/>
    </row>
    <row r="91" customFormat="false" ht="23.25" hidden="false" customHeight="true" outlineLevel="0" collapsed="false">
      <c r="A91" s="7" t="s">
        <v>378</v>
      </c>
      <c r="B91" s="7" t="s">
        <v>313</v>
      </c>
      <c r="C91" s="7" t="s">
        <v>375</v>
      </c>
      <c r="D91" s="7" t="s">
        <v>379</v>
      </c>
      <c r="E91" s="7" t="s">
        <v>367</v>
      </c>
      <c r="F91" s="7" t="s">
        <v>53</v>
      </c>
      <c r="G91" s="7"/>
      <c r="H91" s="7"/>
      <c r="I91" s="7" t="s">
        <v>99</v>
      </c>
      <c r="J91" s="8" t="s">
        <v>55</v>
      </c>
      <c r="K91" s="9" t="n">
        <v>0</v>
      </c>
      <c r="L91" s="10"/>
      <c r="M91" s="8"/>
      <c r="N91" s="8"/>
    </row>
    <row r="92" customFormat="false" ht="23.25" hidden="false" customHeight="true" outlineLevel="0" collapsed="false">
      <c r="A92" s="7" t="s">
        <v>380</v>
      </c>
      <c r="B92" s="7" t="s">
        <v>313</v>
      </c>
      <c r="C92" s="7" t="s">
        <v>375</v>
      </c>
      <c r="D92" s="7" t="s">
        <v>381</v>
      </c>
      <c r="E92" s="7" t="s">
        <v>367</v>
      </c>
      <c r="F92" s="7" t="s">
        <v>53</v>
      </c>
      <c r="G92" s="7"/>
      <c r="H92" s="7"/>
      <c r="I92" s="7" t="s">
        <v>99</v>
      </c>
      <c r="J92" s="8" t="s">
        <v>55</v>
      </c>
      <c r="K92" s="9" t="n">
        <v>0</v>
      </c>
      <c r="L92" s="10"/>
      <c r="M92" s="8"/>
      <c r="N92" s="8"/>
    </row>
    <row r="93" customFormat="false" ht="23.25" hidden="false" customHeight="true" outlineLevel="0" collapsed="false">
      <c r="A93" s="7" t="s">
        <v>382</v>
      </c>
      <c r="B93" s="7" t="s">
        <v>313</v>
      </c>
      <c r="C93" s="7" t="s">
        <v>375</v>
      </c>
      <c r="D93" s="7" t="s">
        <v>383</v>
      </c>
      <c r="E93" s="7" t="s">
        <v>367</v>
      </c>
      <c r="F93" s="7" t="s">
        <v>53</v>
      </c>
      <c r="G93" s="7"/>
      <c r="H93" s="7"/>
      <c r="I93" s="7" t="s">
        <v>99</v>
      </c>
      <c r="J93" s="8" t="s">
        <v>55</v>
      </c>
      <c r="K93" s="9" t="n">
        <v>0</v>
      </c>
      <c r="L93" s="10"/>
      <c r="M93" s="8"/>
      <c r="N93" s="8"/>
    </row>
    <row r="94" customFormat="false" ht="23.25" hidden="false" customHeight="true" outlineLevel="0" collapsed="false">
      <c r="A94" s="7" t="s">
        <v>384</v>
      </c>
      <c r="B94" s="7" t="s">
        <v>313</v>
      </c>
      <c r="C94" s="7" t="s">
        <v>375</v>
      </c>
      <c r="D94" s="7" t="s">
        <v>385</v>
      </c>
      <c r="E94" s="7" t="s">
        <v>367</v>
      </c>
      <c r="F94" s="7" t="s">
        <v>59</v>
      </c>
      <c r="G94" s="7"/>
      <c r="H94" s="7"/>
      <c r="I94" s="7" t="s">
        <v>81</v>
      </c>
      <c r="J94" s="8" t="s">
        <v>55</v>
      </c>
      <c r="K94" s="9" t="n">
        <v>0</v>
      </c>
      <c r="L94" s="10"/>
      <c r="M94" s="8"/>
      <c r="N94" s="8"/>
    </row>
    <row r="95" customFormat="false" ht="15" hidden="false" customHeight="true" outlineLevel="0" collapsed="false">
      <c r="A95" s="7" t="s">
        <v>386</v>
      </c>
      <c r="B95" s="7" t="s">
        <v>313</v>
      </c>
      <c r="C95" s="7" t="s">
        <v>387</v>
      </c>
      <c r="D95" s="7" t="s">
        <v>388</v>
      </c>
      <c r="E95" s="7" t="s">
        <v>389</v>
      </c>
      <c r="F95" s="7" t="s">
        <v>59</v>
      </c>
      <c r="G95" s="7"/>
      <c r="H95" s="7"/>
      <c r="I95" s="7" t="s">
        <v>390</v>
      </c>
      <c r="J95" s="8" t="s">
        <v>55</v>
      </c>
      <c r="K95" s="9" t="n">
        <v>0</v>
      </c>
      <c r="L95" s="10"/>
      <c r="M95" s="8"/>
      <c r="N95" s="8"/>
    </row>
    <row r="96" customFormat="false" ht="23.25" hidden="false" customHeight="true" outlineLevel="0" collapsed="false">
      <c r="A96" s="7" t="s">
        <v>391</v>
      </c>
      <c r="B96" s="7" t="s">
        <v>313</v>
      </c>
      <c r="C96" s="7" t="s">
        <v>392</v>
      </c>
      <c r="D96" s="7" t="s">
        <v>393</v>
      </c>
      <c r="E96" s="7" t="s">
        <v>389</v>
      </c>
      <c r="F96" s="7" t="s">
        <v>59</v>
      </c>
      <c r="G96" s="7"/>
      <c r="H96" s="7" t="s">
        <v>394</v>
      </c>
      <c r="I96" s="7" t="s">
        <v>81</v>
      </c>
      <c r="J96" s="8" t="s">
        <v>55</v>
      </c>
      <c r="K96" s="9" t="n">
        <v>0</v>
      </c>
      <c r="L96" s="10"/>
      <c r="M96" s="8"/>
      <c r="N96" s="8"/>
    </row>
    <row r="97" customFormat="false" ht="23.25" hidden="false" customHeight="true" outlineLevel="0" collapsed="false">
      <c r="A97" s="7" t="s">
        <v>395</v>
      </c>
      <c r="B97" s="7" t="s">
        <v>396</v>
      </c>
      <c r="C97" s="7" t="s">
        <v>397</v>
      </c>
      <c r="D97" s="7" t="s">
        <v>398</v>
      </c>
      <c r="E97" s="7" t="s">
        <v>399</v>
      </c>
      <c r="F97" s="7" t="s">
        <v>59</v>
      </c>
      <c r="G97" s="7"/>
      <c r="H97" s="7"/>
      <c r="I97" s="7" t="s">
        <v>400</v>
      </c>
      <c r="J97" s="8" t="s">
        <v>55</v>
      </c>
      <c r="K97" s="9" t="n">
        <v>0</v>
      </c>
      <c r="L97" s="10"/>
      <c r="M97" s="8"/>
      <c r="N97" s="8"/>
    </row>
    <row r="98" customFormat="false" ht="23.25" hidden="false" customHeight="true" outlineLevel="0" collapsed="false">
      <c r="A98" s="7" t="s">
        <v>401</v>
      </c>
      <c r="B98" s="7" t="s">
        <v>396</v>
      </c>
      <c r="C98" s="7" t="s">
        <v>402</v>
      </c>
      <c r="D98" s="7" t="s">
        <v>403</v>
      </c>
      <c r="E98" s="7" t="s">
        <v>404</v>
      </c>
      <c r="F98" s="7" t="s">
        <v>59</v>
      </c>
      <c r="G98" s="7"/>
      <c r="H98" s="7" t="s">
        <v>405</v>
      </c>
      <c r="I98" s="7" t="s">
        <v>81</v>
      </c>
      <c r="J98" s="8" t="s">
        <v>55</v>
      </c>
      <c r="K98" s="9" t="n">
        <v>0</v>
      </c>
      <c r="L98" s="10"/>
      <c r="M98" s="8"/>
      <c r="N98" s="8"/>
    </row>
    <row r="99" customFormat="false" ht="23.25" hidden="false" customHeight="true" outlineLevel="0" collapsed="false">
      <c r="A99" s="7" t="s">
        <v>406</v>
      </c>
      <c r="B99" s="7" t="s">
        <v>396</v>
      </c>
      <c r="C99" s="7" t="s">
        <v>407</v>
      </c>
      <c r="D99" s="7" t="s">
        <v>408</v>
      </c>
      <c r="E99" s="7" t="s">
        <v>404</v>
      </c>
      <c r="F99" s="7" t="s">
        <v>59</v>
      </c>
      <c r="G99" s="7"/>
      <c r="H99" s="7"/>
      <c r="I99" s="7" t="s">
        <v>81</v>
      </c>
      <c r="J99" s="8" t="s">
        <v>55</v>
      </c>
      <c r="K99" s="9" t="n">
        <v>0</v>
      </c>
      <c r="L99" s="10"/>
      <c r="M99" s="8"/>
      <c r="N99" s="8"/>
    </row>
    <row r="100" customFormat="false" ht="23.25" hidden="false" customHeight="true" outlineLevel="0" collapsed="false">
      <c r="A100" s="7" t="s">
        <v>409</v>
      </c>
      <c r="B100" s="7" t="s">
        <v>396</v>
      </c>
      <c r="C100" s="7" t="s">
        <v>410</v>
      </c>
      <c r="D100" s="7" t="s">
        <v>411</v>
      </c>
      <c r="E100" s="7" t="s">
        <v>404</v>
      </c>
      <c r="F100" s="7" t="s">
        <v>59</v>
      </c>
      <c r="G100" s="7"/>
      <c r="H100" s="7"/>
      <c r="I100" s="7" t="s">
        <v>81</v>
      </c>
      <c r="J100" s="8" t="s">
        <v>55</v>
      </c>
      <c r="K100" s="9" t="n">
        <v>0</v>
      </c>
      <c r="L100" s="10"/>
      <c r="M100" s="8"/>
      <c r="N100" s="8"/>
    </row>
    <row r="101" customFormat="false" ht="23.25" hidden="false" customHeight="true" outlineLevel="0" collapsed="false">
      <c r="A101" s="7" t="s">
        <v>412</v>
      </c>
      <c r="B101" s="7" t="s">
        <v>396</v>
      </c>
      <c r="C101" s="7" t="s">
        <v>413</v>
      </c>
      <c r="D101" s="7" t="s">
        <v>414</v>
      </c>
      <c r="E101" s="7" t="s">
        <v>404</v>
      </c>
      <c r="F101" s="7" t="s">
        <v>53</v>
      </c>
      <c r="G101" s="7"/>
      <c r="H101" s="7"/>
      <c r="I101" s="7" t="s">
        <v>99</v>
      </c>
      <c r="J101" s="8" t="s">
        <v>55</v>
      </c>
      <c r="K101" s="9" t="n">
        <v>0</v>
      </c>
      <c r="L101" s="10"/>
      <c r="M101" s="8"/>
      <c r="N101" s="8"/>
    </row>
    <row r="102" customFormat="false" ht="23.25" hidden="false" customHeight="true" outlineLevel="0" collapsed="false">
      <c r="A102" s="7" t="s">
        <v>415</v>
      </c>
      <c r="B102" s="7" t="s">
        <v>396</v>
      </c>
      <c r="C102" s="7" t="s">
        <v>416</v>
      </c>
      <c r="D102" s="7" t="s">
        <v>417</v>
      </c>
      <c r="E102" s="7" t="s">
        <v>404</v>
      </c>
      <c r="F102" s="7" t="s">
        <v>59</v>
      </c>
      <c r="G102" s="7"/>
      <c r="H102" s="7"/>
      <c r="I102" s="7" t="s">
        <v>81</v>
      </c>
      <c r="J102" s="8" t="s">
        <v>55</v>
      </c>
      <c r="K102" s="9" t="n">
        <v>0</v>
      </c>
      <c r="L102" s="10"/>
      <c r="M102" s="8"/>
      <c r="N102" s="8"/>
    </row>
    <row r="103" customFormat="false" ht="23.25" hidden="false" customHeight="true" outlineLevel="0" collapsed="false">
      <c r="A103" s="7" t="s">
        <v>418</v>
      </c>
      <c r="B103" s="7" t="s">
        <v>396</v>
      </c>
      <c r="C103" s="7" t="s">
        <v>419</v>
      </c>
      <c r="D103" s="7" t="s">
        <v>420</v>
      </c>
      <c r="E103" s="7" t="s">
        <v>404</v>
      </c>
      <c r="F103" s="7" t="s">
        <v>59</v>
      </c>
      <c r="G103" s="7"/>
      <c r="H103" s="7" t="s">
        <v>421</v>
      </c>
      <c r="I103" s="7" t="s">
        <v>208</v>
      </c>
      <c r="J103" s="8" t="s">
        <v>55</v>
      </c>
      <c r="K103" s="9" t="n">
        <v>0</v>
      </c>
      <c r="L103" s="10"/>
      <c r="M103" s="8"/>
      <c r="N103" s="8"/>
    </row>
    <row r="104" customFormat="false" ht="23.25" hidden="false" customHeight="true" outlineLevel="0" collapsed="false">
      <c r="A104" s="7" t="s">
        <v>422</v>
      </c>
      <c r="B104" s="7" t="s">
        <v>396</v>
      </c>
      <c r="C104" s="7" t="s">
        <v>423</v>
      </c>
      <c r="D104" s="7" t="s">
        <v>424</v>
      </c>
      <c r="E104" s="7" t="s">
        <v>425</v>
      </c>
      <c r="F104" s="7" t="s">
        <v>174</v>
      </c>
      <c r="G104" s="7" t="s">
        <v>426</v>
      </c>
      <c r="H104" s="7" t="s">
        <v>427</v>
      </c>
      <c r="I104" s="7" t="s">
        <v>208</v>
      </c>
      <c r="J104" s="8" t="s">
        <v>55</v>
      </c>
      <c r="K104" s="9" t="n">
        <v>0</v>
      </c>
      <c r="L104" s="10"/>
      <c r="M104" s="8"/>
      <c r="N104" s="8"/>
    </row>
    <row r="105" customFormat="false" ht="23.25" hidden="false" customHeight="true" outlineLevel="0" collapsed="false">
      <c r="A105" s="7" t="s">
        <v>428</v>
      </c>
      <c r="B105" s="7" t="s">
        <v>396</v>
      </c>
      <c r="C105" s="7" t="s">
        <v>429</v>
      </c>
      <c r="D105" s="7" t="s">
        <v>430</v>
      </c>
      <c r="E105" s="7" t="s">
        <v>425</v>
      </c>
      <c r="F105" s="7" t="s">
        <v>59</v>
      </c>
      <c r="G105" s="7"/>
      <c r="H105" s="7" t="s">
        <v>431</v>
      </c>
      <c r="I105" s="7" t="s">
        <v>208</v>
      </c>
      <c r="J105" s="8" t="s">
        <v>55</v>
      </c>
      <c r="K105" s="9" t="n">
        <v>0</v>
      </c>
      <c r="L105" s="10"/>
      <c r="M105" s="8"/>
      <c r="N105" s="8"/>
    </row>
    <row r="106" customFormat="false" ht="23.25" hidden="false" customHeight="true" outlineLevel="0" collapsed="false">
      <c r="A106" s="7" t="s">
        <v>432</v>
      </c>
      <c r="B106" s="7" t="s">
        <v>396</v>
      </c>
      <c r="C106" s="7" t="s">
        <v>429</v>
      </c>
      <c r="D106" s="7" t="s">
        <v>433</v>
      </c>
      <c r="E106" s="7" t="s">
        <v>425</v>
      </c>
      <c r="F106" s="7" t="s">
        <v>59</v>
      </c>
      <c r="G106" s="7"/>
      <c r="H106" s="7"/>
      <c r="I106" s="7" t="s">
        <v>81</v>
      </c>
      <c r="J106" s="8" t="s">
        <v>55</v>
      </c>
      <c r="K106" s="9" t="n">
        <v>0</v>
      </c>
      <c r="L106" s="10"/>
      <c r="M106" s="8"/>
      <c r="N106" s="8"/>
    </row>
    <row r="107" customFormat="false" ht="23.25" hidden="false" customHeight="true" outlineLevel="0" collapsed="false">
      <c r="A107" s="7" t="s">
        <v>434</v>
      </c>
      <c r="B107" s="7" t="s">
        <v>396</v>
      </c>
      <c r="C107" s="7" t="s">
        <v>429</v>
      </c>
      <c r="D107" s="7" t="s">
        <v>435</v>
      </c>
      <c r="E107" s="7" t="s">
        <v>425</v>
      </c>
      <c r="F107" s="7" t="s">
        <v>53</v>
      </c>
      <c r="G107" s="7"/>
      <c r="H107" s="7"/>
      <c r="I107" s="7" t="s">
        <v>99</v>
      </c>
      <c r="J107" s="8" t="s">
        <v>55</v>
      </c>
      <c r="K107" s="9" t="n">
        <v>0</v>
      </c>
      <c r="L107" s="10"/>
      <c r="M107" s="8"/>
      <c r="N107" s="8"/>
    </row>
    <row r="108" customFormat="false" ht="23.25" hidden="false" customHeight="true" outlineLevel="0" collapsed="false">
      <c r="A108" s="7" t="s">
        <v>436</v>
      </c>
      <c r="B108" s="7" t="s">
        <v>396</v>
      </c>
      <c r="C108" s="7" t="s">
        <v>437</v>
      </c>
      <c r="D108" s="7" t="s">
        <v>438</v>
      </c>
      <c r="E108" s="7" t="s">
        <v>425</v>
      </c>
      <c r="F108" s="7" t="s">
        <v>59</v>
      </c>
      <c r="G108" s="7"/>
      <c r="H108" s="7" t="s">
        <v>439</v>
      </c>
      <c r="I108" s="7" t="s">
        <v>440</v>
      </c>
      <c r="J108" s="8" t="s">
        <v>55</v>
      </c>
      <c r="K108" s="9" t="n">
        <v>0</v>
      </c>
      <c r="L108" s="10"/>
      <c r="M108" s="8"/>
      <c r="N108" s="8"/>
    </row>
    <row r="109" customFormat="false" ht="23.25" hidden="false" customHeight="true" outlineLevel="0" collapsed="false">
      <c r="A109" s="7" t="s">
        <v>441</v>
      </c>
      <c r="B109" s="7" t="s">
        <v>396</v>
      </c>
      <c r="C109" s="7" t="s">
        <v>437</v>
      </c>
      <c r="D109" s="7" t="s">
        <v>442</v>
      </c>
      <c r="E109" s="7" t="s">
        <v>443</v>
      </c>
      <c r="F109" s="7" t="s">
        <v>59</v>
      </c>
      <c r="G109" s="7"/>
      <c r="H109" s="7"/>
      <c r="I109" s="7" t="s">
        <v>81</v>
      </c>
      <c r="J109" s="8" t="s">
        <v>55</v>
      </c>
      <c r="K109" s="9" t="n">
        <v>0</v>
      </c>
      <c r="L109" s="10"/>
      <c r="M109" s="8"/>
      <c r="N109" s="8"/>
    </row>
    <row r="110" customFormat="false" ht="15" hidden="false" customHeight="true" outlineLevel="0" collapsed="false">
      <c r="A110" s="7" t="s">
        <v>444</v>
      </c>
      <c r="B110" s="7" t="s">
        <v>396</v>
      </c>
      <c r="C110" s="7" t="s">
        <v>445</v>
      </c>
      <c r="D110" s="7" t="s">
        <v>446</v>
      </c>
      <c r="E110" s="7" t="s">
        <v>447</v>
      </c>
      <c r="F110" s="7" t="s">
        <v>59</v>
      </c>
      <c r="G110" s="7"/>
      <c r="H110" s="7" t="s">
        <v>448</v>
      </c>
      <c r="I110" s="7" t="s">
        <v>208</v>
      </c>
      <c r="J110" s="8" t="s">
        <v>55</v>
      </c>
      <c r="K110" s="9" t="n">
        <v>0</v>
      </c>
      <c r="L110" s="10"/>
      <c r="M110" s="8"/>
      <c r="N110" s="8"/>
    </row>
    <row r="111" customFormat="false" ht="23.25" hidden="false" customHeight="true" outlineLevel="0" collapsed="false">
      <c r="A111" s="7" t="s">
        <v>449</v>
      </c>
      <c r="B111" s="7" t="s">
        <v>396</v>
      </c>
      <c r="C111" s="7" t="s">
        <v>445</v>
      </c>
      <c r="D111" s="7" t="s">
        <v>450</v>
      </c>
      <c r="E111" s="7" t="s">
        <v>447</v>
      </c>
      <c r="F111" s="7" t="s">
        <v>59</v>
      </c>
      <c r="G111" s="7"/>
      <c r="H111" s="7"/>
      <c r="I111" s="7" t="s">
        <v>81</v>
      </c>
      <c r="J111" s="8" t="s">
        <v>55</v>
      </c>
      <c r="K111" s="9" t="n">
        <v>0</v>
      </c>
      <c r="L111" s="10"/>
      <c r="M111" s="8"/>
      <c r="N111" s="8"/>
    </row>
    <row r="112" customFormat="false" ht="23.25" hidden="false" customHeight="true" outlineLevel="0" collapsed="false">
      <c r="A112" s="7" t="s">
        <v>451</v>
      </c>
      <c r="B112" s="7" t="s">
        <v>396</v>
      </c>
      <c r="C112" s="7" t="s">
        <v>452</v>
      </c>
      <c r="D112" s="7" t="s">
        <v>453</v>
      </c>
      <c r="E112" s="7" t="s">
        <v>454</v>
      </c>
      <c r="F112" s="7" t="s">
        <v>59</v>
      </c>
      <c r="G112" s="7"/>
      <c r="H112" s="7"/>
      <c r="I112" s="7" t="s">
        <v>81</v>
      </c>
      <c r="J112" s="8" t="s">
        <v>55</v>
      </c>
      <c r="K112" s="9" t="n">
        <v>0</v>
      </c>
      <c r="L112" s="10"/>
      <c r="M112" s="8"/>
      <c r="N112" s="8"/>
    </row>
    <row r="113" customFormat="false" ht="23.25" hidden="false" customHeight="true" outlineLevel="0" collapsed="false">
      <c r="A113" s="7" t="s">
        <v>455</v>
      </c>
      <c r="B113" s="7" t="s">
        <v>396</v>
      </c>
      <c r="C113" s="7" t="s">
        <v>452</v>
      </c>
      <c r="D113" s="7" t="s">
        <v>456</v>
      </c>
      <c r="E113" s="7" t="s">
        <v>457</v>
      </c>
      <c r="F113" s="7" t="s">
        <v>59</v>
      </c>
      <c r="G113" s="7"/>
      <c r="H113" s="7"/>
      <c r="I113" s="7" t="s">
        <v>81</v>
      </c>
      <c r="J113" s="8" t="s">
        <v>55</v>
      </c>
      <c r="K113" s="9" t="n">
        <v>0</v>
      </c>
      <c r="L113" s="10"/>
      <c r="M113" s="8"/>
      <c r="N113" s="8"/>
    </row>
    <row r="114" customFormat="false" ht="23.25" hidden="false" customHeight="true" outlineLevel="0" collapsed="false">
      <c r="A114" s="7" t="s">
        <v>458</v>
      </c>
      <c r="B114" s="7" t="s">
        <v>396</v>
      </c>
      <c r="C114" s="7" t="s">
        <v>459</v>
      </c>
      <c r="D114" s="7" t="s">
        <v>460</v>
      </c>
      <c r="E114" s="7" t="s">
        <v>457</v>
      </c>
      <c r="F114" s="7" t="s">
        <v>53</v>
      </c>
      <c r="G114" s="7"/>
      <c r="H114" s="7"/>
      <c r="I114" s="7" t="s">
        <v>99</v>
      </c>
      <c r="J114" s="8" t="s">
        <v>55</v>
      </c>
      <c r="K114" s="9" t="n">
        <v>0</v>
      </c>
      <c r="L114" s="10"/>
      <c r="M114" s="8"/>
      <c r="N114" s="8"/>
    </row>
    <row r="115" customFormat="false" ht="23.25" hidden="false" customHeight="true" outlineLevel="0" collapsed="false">
      <c r="A115" s="7" t="s">
        <v>461</v>
      </c>
      <c r="B115" s="7" t="s">
        <v>396</v>
      </c>
      <c r="C115" s="7" t="s">
        <v>462</v>
      </c>
      <c r="D115" s="7" t="s">
        <v>463</v>
      </c>
      <c r="E115" s="7" t="s">
        <v>457</v>
      </c>
      <c r="F115" s="7" t="s">
        <v>59</v>
      </c>
      <c r="G115" s="7"/>
      <c r="H115" s="7"/>
      <c r="I115" s="7" t="s">
        <v>81</v>
      </c>
      <c r="J115" s="8" t="s">
        <v>55</v>
      </c>
      <c r="K115" s="9" t="n">
        <v>0</v>
      </c>
      <c r="L115" s="10"/>
      <c r="M115" s="8"/>
      <c r="N115" s="8"/>
    </row>
    <row r="116" customFormat="false" ht="23.25" hidden="false" customHeight="true" outlineLevel="0" collapsed="false">
      <c r="A116" s="7" t="s">
        <v>464</v>
      </c>
      <c r="B116" s="7" t="s">
        <v>396</v>
      </c>
      <c r="C116" s="7" t="s">
        <v>465</v>
      </c>
      <c r="D116" s="7" t="s">
        <v>466</v>
      </c>
      <c r="E116" s="7" t="s">
        <v>457</v>
      </c>
      <c r="F116" s="7" t="s">
        <v>59</v>
      </c>
      <c r="G116" s="7"/>
      <c r="H116" s="7"/>
      <c r="I116" s="7" t="s">
        <v>81</v>
      </c>
      <c r="J116" s="8" t="s">
        <v>55</v>
      </c>
      <c r="K116" s="9" t="n">
        <v>0</v>
      </c>
      <c r="L116" s="10"/>
      <c r="M116" s="8"/>
      <c r="N116" s="8"/>
    </row>
    <row r="117" customFormat="false" ht="23.25" hidden="false" customHeight="true" outlineLevel="0" collapsed="false">
      <c r="A117" s="7" t="s">
        <v>467</v>
      </c>
      <c r="B117" s="7" t="s">
        <v>396</v>
      </c>
      <c r="C117" s="7" t="s">
        <v>465</v>
      </c>
      <c r="D117" s="7" t="s">
        <v>468</v>
      </c>
      <c r="E117" s="7" t="s">
        <v>457</v>
      </c>
      <c r="F117" s="7" t="s">
        <v>59</v>
      </c>
      <c r="G117" s="7"/>
      <c r="H117" s="7" t="s">
        <v>469</v>
      </c>
      <c r="I117" s="7" t="s">
        <v>81</v>
      </c>
      <c r="J117" s="8" t="s">
        <v>55</v>
      </c>
      <c r="K117" s="9" t="n">
        <v>0</v>
      </c>
      <c r="L117" s="10"/>
      <c r="M117" s="8"/>
      <c r="N117" s="8"/>
    </row>
    <row r="118" customFormat="false" ht="23.25" hidden="false" customHeight="true" outlineLevel="0" collapsed="false">
      <c r="A118" s="7" t="s">
        <v>470</v>
      </c>
      <c r="B118" s="7" t="s">
        <v>396</v>
      </c>
      <c r="C118" s="7" t="s">
        <v>465</v>
      </c>
      <c r="D118" s="7" t="s">
        <v>471</v>
      </c>
      <c r="E118" s="7" t="s">
        <v>457</v>
      </c>
      <c r="F118" s="7" t="s">
        <v>59</v>
      </c>
      <c r="G118" s="7"/>
      <c r="H118" s="7" t="s">
        <v>472</v>
      </c>
      <c r="I118" s="7" t="s">
        <v>81</v>
      </c>
      <c r="J118" s="8" t="s">
        <v>55</v>
      </c>
      <c r="K118" s="9" t="n">
        <v>0</v>
      </c>
      <c r="L118" s="10"/>
      <c r="M118" s="8"/>
      <c r="N118" s="8"/>
    </row>
    <row r="119" customFormat="false" ht="23.25" hidden="false" customHeight="true" outlineLevel="0" collapsed="false">
      <c r="A119" s="7" t="s">
        <v>473</v>
      </c>
      <c r="B119" s="7" t="s">
        <v>396</v>
      </c>
      <c r="C119" s="7" t="s">
        <v>465</v>
      </c>
      <c r="D119" s="7" t="s">
        <v>474</v>
      </c>
      <c r="E119" s="7" t="s">
        <v>475</v>
      </c>
      <c r="F119" s="7" t="s">
        <v>59</v>
      </c>
      <c r="G119" s="7"/>
      <c r="H119" s="7" t="s">
        <v>476</v>
      </c>
      <c r="I119" s="7" t="s">
        <v>477</v>
      </c>
      <c r="J119" s="8" t="s">
        <v>55</v>
      </c>
      <c r="K119" s="9" t="n">
        <v>0</v>
      </c>
      <c r="L119" s="10"/>
      <c r="M119" s="8"/>
      <c r="N119" s="8"/>
    </row>
    <row r="120" customFormat="false" ht="23.25" hidden="false" customHeight="true" outlineLevel="0" collapsed="false">
      <c r="A120" s="7" t="s">
        <v>478</v>
      </c>
      <c r="B120" s="7" t="s">
        <v>396</v>
      </c>
      <c r="C120" s="7" t="s">
        <v>479</v>
      </c>
      <c r="D120" s="7" t="s">
        <v>480</v>
      </c>
      <c r="E120" s="7" t="s">
        <v>481</v>
      </c>
      <c r="F120" s="7" t="s">
        <v>59</v>
      </c>
      <c r="G120" s="7"/>
      <c r="H120" s="7" t="s">
        <v>482</v>
      </c>
      <c r="I120" s="7" t="s">
        <v>81</v>
      </c>
      <c r="J120" s="8" t="s">
        <v>55</v>
      </c>
      <c r="K120" s="9" t="n">
        <v>0</v>
      </c>
      <c r="L120" s="10"/>
      <c r="M120" s="8"/>
      <c r="N120" s="8"/>
    </row>
    <row r="121" customFormat="false" ht="23.25" hidden="false" customHeight="true" outlineLevel="0" collapsed="false">
      <c r="A121" s="7" t="s">
        <v>483</v>
      </c>
      <c r="B121" s="7" t="s">
        <v>396</v>
      </c>
      <c r="C121" s="7" t="s">
        <v>479</v>
      </c>
      <c r="D121" s="7" t="s">
        <v>484</v>
      </c>
      <c r="E121" s="7" t="s">
        <v>481</v>
      </c>
      <c r="F121" s="7" t="s">
        <v>59</v>
      </c>
      <c r="G121" s="7"/>
      <c r="H121" s="7"/>
      <c r="I121" s="7" t="s">
        <v>81</v>
      </c>
      <c r="J121" s="8" t="s">
        <v>55</v>
      </c>
      <c r="K121" s="9" t="n">
        <v>0</v>
      </c>
      <c r="L121" s="10"/>
      <c r="M121" s="8"/>
      <c r="N121" s="8"/>
    </row>
    <row r="122" customFormat="false" ht="23.25" hidden="false" customHeight="true" outlineLevel="0" collapsed="false">
      <c r="A122" s="7" t="s">
        <v>485</v>
      </c>
      <c r="B122" s="7" t="s">
        <v>396</v>
      </c>
      <c r="C122" s="7" t="s">
        <v>486</v>
      </c>
      <c r="D122" s="7" t="s">
        <v>487</v>
      </c>
      <c r="E122" s="7" t="s">
        <v>481</v>
      </c>
      <c r="F122" s="7" t="s">
        <v>59</v>
      </c>
      <c r="G122" s="7"/>
      <c r="H122" s="7" t="s">
        <v>488</v>
      </c>
      <c r="I122" s="7" t="s">
        <v>81</v>
      </c>
      <c r="J122" s="8" t="s">
        <v>55</v>
      </c>
      <c r="K122" s="9" t="n">
        <v>0</v>
      </c>
      <c r="L122" s="10"/>
      <c r="M122" s="8"/>
      <c r="N122" s="8"/>
    </row>
    <row r="123" customFormat="false" ht="23.25" hidden="false" customHeight="true" outlineLevel="0" collapsed="false">
      <c r="A123" s="7" t="s">
        <v>489</v>
      </c>
      <c r="B123" s="7" t="s">
        <v>396</v>
      </c>
      <c r="C123" s="7" t="s">
        <v>486</v>
      </c>
      <c r="D123" s="7" t="s">
        <v>490</v>
      </c>
      <c r="E123" s="7" t="s">
        <v>481</v>
      </c>
      <c r="F123" s="7" t="s">
        <v>59</v>
      </c>
      <c r="G123" s="7"/>
      <c r="H123" s="7"/>
      <c r="I123" s="7" t="s">
        <v>81</v>
      </c>
      <c r="J123" s="8" t="s">
        <v>55</v>
      </c>
      <c r="K123" s="9" t="n">
        <v>0</v>
      </c>
      <c r="L123" s="10"/>
      <c r="M123" s="8"/>
      <c r="N123" s="8"/>
    </row>
    <row r="124" customFormat="false" ht="15" hidden="false" customHeight="true" outlineLevel="0" collapsed="false">
      <c r="A124" s="7" t="s">
        <v>491</v>
      </c>
      <c r="B124" s="7" t="s">
        <v>492</v>
      </c>
      <c r="C124" s="7" t="s">
        <v>493</v>
      </c>
      <c r="D124" s="7" t="s">
        <v>494</v>
      </c>
      <c r="E124" s="7" t="s">
        <v>495</v>
      </c>
      <c r="F124" s="7" t="s">
        <v>59</v>
      </c>
      <c r="G124" s="7"/>
      <c r="H124" s="7"/>
      <c r="I124" s="7" t="s">
        <v>496</v>
      </c>
      <c r="J124" s="8" t="s">
        <v>55</v>
      </c>
      <c r="K124" s="9" t="n">
        <v>0</v>
      </c>
      <c r="L124" s="10"/>
      <c r="M124" s="8"/>
      <c r="N124" s="8"/>
    </row>
    <row r="125" customFormat="false" ht="23.25" hidden="false" customHeight="true" outlineLevel="0" collapsed="false">
      <c r="A125" s="7" t="s">
        <v>497</v>
      </c>
      <c r="B125" s="7" t="s">
        <v>492</v>
      </c>
      <c r="C125" s="7" t="s">
        <v>493</v>
      </c>
      <c r="D125" s="7" t="s">
        <v>498</v>
      </c>
      <c r="E125" s="7" t="s">
        <v>499</v>
      </c>
      <c r="F125" s="7" t="s">
        <v>59</v>
      </c>
      <c r="G125" s="7"/>
      <c r="H125" s="7"/>
      <c r="I125" s="7" t="s">
        <v>81</v>
      </c>
      <c r="J125" s="8" t="s">
        <v>55</v>
      </c>
      <c r="K125" s="9" t="n">
        <v>0</v>
      </c>
      <c r="L125" s="10"/>
      <c r="M125" s="8"/>
      <c r="N125" s="8"/>
    </row>
    <row r="126" customFormat="false" ht="23.25" hidden="false" customHeight="true" outlineLevel="0" collapsed="false">
      <c r="A126" s="7" t="s">
        <v>500</v>
      </c>
      <c r="B126" s="7" t="s">
        <v>492</v>
      </c>
      <c r="C126" s="7" t="s">
        <v>493</v>
      </c>
      <c r="D126" s="7" t="s">
        <v>501</v>
      </c>
      <c r="E126" s="7" t="s">
        <v>499</v>
      </c>
      <c r="F126" s="7" t="s">
        <v>53</v>
      </c>
      <c r="G126" s="7"/>
      <c r="H126" s="7"/>
      <c r="I126" s="7" t="s">
        <v>99</v>
      </c>
      <c r="J126" s="8" t="s">
        <v>55</v>
      </c>
      <c r="K126" s="9" t="n">
        <v>0</v>
      </c>
      <c r="L126" s="10"/>
      <c r="M126" s="8"/>
      <c r="N126" s="8"/>
    </row>
    <row r="127" customFormat="false" ht="23.25" hidden="false" customHeight="true" outlineLevel="0" collapsed="false">
      <c r="A127" s="7" t="s">
        <v>502</v>
      </c>
      <c r="B127" s="7" t="s">
        <v>492</v>
      </c>
      <c r="C127" s="7" t="s">
        <v>493</v>
      </c>
      <c r="D127" s="7" t="s">
        <v>503</v>
      </c>
      <c r="E127" s="7" t="s">
        <v>499</v>
      </c>
      <c r="F127" s="7" t="s">
        <v>59</v>
      </c>
      <c r="G127" s="7"/>
      <c r="H127" s="7" t="s">
        <v>504</v>
      </c>
      <c r="I127" s="7" t="s">
        <v>81</v>
      </c>
      <c r="J127" s="8" t="s">
        <v>55</v>
      </c>
      <c r="K127" s="9" t="n">
        <v>0</v>
      </c>
      <c r="L127" s="10"/>
      <c r="M127" s="8"/>
      <c r="N127" s="8"/>
    </row>
    <row r="128" customFormat="false" ht="23.25" hidden="false" customHeight="true" outlineLevel="0" collapsed="false">
      <c r="A128" s="7" t="s">
        <v>505</v>
      </c>
      <c r="B128" s="7" t="s">
        <v>492</v>
      </c>
      <c r="C128" s="7" t="s">
        <v>493</v>
      </c>
      <c r="D128" s="7" t="s">
        <v>506</v>
      </c>
      <c r="E128" s="7" t="s">
        <v>499</v>
      </c>
      <c r="F128" s="7" t="s">
        <v>59</v>
      </c>
      <c r="G128" s="7"/>
      <c r="H128" s="7" t="s">
        <v>507</v>
      </c>
      <c r="I128" s="7" t="s">
        <v>334</v>
      </c>
      <c r="J128" s="8" t="s">
        <v>55</v>
      </c>
      <c r="K128" s="9" t="n">
        <v>0</v>
      </c>
      <c r="L128" s="10"/>
      <c r="M128" s="8"/>
      <c r="N128" s="8"/>
    </row>
    <row r="129" customFormat="false" ht="23.25" hidden="false" customHeight="true" outlineLevel="0" collapsed="false">
      <c r="A129" s="7" t="s">
        <v>508</v>
      </c>
      <c r="B129" s="7" t="s">
        <v>492</v>
      </c>
      <c r="C129" s="7" t="s">
        <v>493</v>
      </c>
      <c r="D129" s="7" t="s">
        <v>509</v>
      </c>
      <c r="E129" s="7" t="s">
        <v>499</v>
      </c>
      <c r="F129" s="7" t="s">
        <v>59</v>
      </c>
      <c r="G129" s="7"/>
      <c r="H129" s="7"/>
      <c r="I129" s="7" t="s">
        <v>81</v>
      </c>
      <c r="J129" s="8" t="s">
        <v>55</v>
      </c>
      <c r="K129" s="9" t="n">
        <v>0</v>
      </c>
      <c r="L129" s="10"/>
      <c r="M129" s="8"/>
      <c r="N129" s="8"/>
    </row>
    <row r="130" customFormat="false" ht="15" hidden="false" customHeight="true" outlineLevel="0" collapsed="false">
      <c r="A130" s="7" t="s">
        <v>510</v>
      </c>
      <c r="B130" s="7" t="s">
        <v>492</v>
      </c>
      <c r="C130" s="7" t="s">
        <v>511</v>
      </c>
      <c r="D130" s="7" t="s">
        <v>512</v>
      </c>
      <c r="E130" s="7" t="s">
        <v>513</v>
      </c>
      <c r="F130" s="7" t="s">
        <v>53</v>
      </c>
      <c r="G130" s="7"/>
      <c r="H130" s="7"/>
      <c r="I130" s="7" t="s">
        <v>514</v>
      </c>
      <c r="J130" s="8" t="s">
        <v>55</v>
      </c>
      <c r="K130" s="9" t="n">
        <v>0</v>
      </c>
      <c r="L130" s="10"/>
      <c r="M130" s="8"/>
      <c r="N130" s="8"/>
    </row>
    <row r="131" customFormat="false" ht="23.25" hidden="false" customHeight="true" outlineLevel="0" collapsed="false">
      <c r="A131" s="7" t="s">
        <v>515</v>
      </c>
      <c r="B131" s="7" t="s">
        <v>492</v>
      </c>
      <c r="C131" s="7" t="s">
        <v>511</v>
      </c>
      <c r="D131" s="7" t="s">
        <v>516</v>
      </c>
      <c r="E131" s="7" t="s">
        <v>513</v>
      </c>
      <c r="F131" s="7" t="s">
        <v>53</v>
      </c>
      <c r="G131" s="7"/>
      <c r="H131" s="7"/>
      <c r="I131" s="7" t="s">
        <v>99</v>
      </c>
      <c r="J131" s="8" t="s">
        <v>55</v>
      </c>
      <c r="K131" s="9" t="n">
        <v>0</v>
      </c>
      <c r="L131" s="10"/>
      <c r="M131" s="8"/>
      <c r="N131" s="8"/>
    </row>
    <row r="132" customFormat="false" ht="23.25" hidden="false" customHeight="true" outlineLevel="0" collapsed="false">
      <c r="A132" s="7" t="s">
        <v>517</v>
      </c>
      <c r="B132" s="7" t="s">
        <v>492</v>
      </c>
      <c r="C132" s="7" t="s">
        <v>518</v>
      </c>
      <c r="D132" s="7" t="s">
        <v>519</v>
      </c>
      <c r="E132" s="7" t="s">
        <v>513</v>
      </c>
      <c r="F132" s="7" t="s">
        <v>53</v>
      </c>
      <c r="G132" s="7"/>
      <c r="H132" s="7"/>
      <c r="I132" s="7" t="s">
        <v>514</v>
      </c>
      <c r="J132" s="8" t="s">
        <v>55</v>
      </c>
      <c r="K132" s="9" t="n">
        <v>0</v>
      </c>
      <c r="L132" s="10"/>
      <c r="M132" s="8"/>
      <c r="N132" s="8"/>
    </row>
    <row r="133" customFormat="false" ht="23.25" hidden="false" customHeight="true" outlineLevel="0" collapsed="false">
      <c r="A133" s="7" t="s">
        <v>520</v>
      </c>
      <c r="B133" s="7" t="s">
        <v>492</v>
      </c>
      <c r="C133" s="7" t="s">
        <v>493</v>
      </c>
      <c r="D133" s="7" t="s">
        <v>521</v>
      </c>
      <c r="E133" s="7" t="s">
        <v>513</v>
      </c>
      <c r="F133" s="7" t="s">
        <v>59</v>
      </c>
      <c r="G133" s="7"/>
      <c r="H133" s="7"/>
      <c r="I133" s="7" t="s">
        <v>81</v>
      </c>
      <c r="J133" s="8" t="s">
        <v>55</v>
      </c>
      <c r="K133" s="9" t="n">
        <v>0</v>
      </c>
      <c r="L133" s="10"/>
      <c r="M133" s="8"/>
      <c r="N133" s="8"/>
    </row>
    <row r="134" customFormat="false" ht="23.25" hidden="false" customHeight="true" outlineLevel="0" collapsed="false">
      <c r="A134" s="7" t="s">
        <v>522</v>
      </c>
      <c r="B134" s="7" t="s">
        <v>492</v>
      </c>
      <c r="C134" s="7" t="s">
        <v>523</v>
      </c>
      <c r="D134" s="7" t="s">
        <v>524</v>
      </c>
      <c r="E134" s="7" t="s">
        <v>513</v>
      </c>
      <c r="F134" s="7" t="s">
        <v>59</v>
      </c>
      <c r="G134" s="7"/>
      <c r="H134" s="7"/>
      <c r="I134" s="7" t="s">
        <v>81</v>
      </c>
      <c r="J134" s="8" t="s">
        <v>55</v>
      </c>
      <c r="K134" s="9" t="n">
        <v>0</v>
      </c>
      <c r="L134" s="10"/>
      <c r="M134" s="8"/>
      <c r="N134" s="8"/>
    </row>
    <row r="135" customFormat="false" ht="23.25" hidden="false" customHeight="true" outlineLevel="0" collapsed="false">
      <c r="A135" s="7" t="s">
        <v>525</v>
      </c>
      <c r="B135" s="7" t="s">
        <v>492</v>
      </c>
      <c r="C135" s="7" t="s">
        <v>526</v>
      </c>
      <c r="D135" s="7" t="s">
        <v>527</v>
      </c>
      <c r="E135" s="7" t="s">
        <v>513</v>
      </c>
      <c r="F135" s="7" t="s">
        <v>59</v>
      </c>
      <c r="G135" s="7"/>
      <c r="H135" s="7" t="s">
        <v>528</v>
      </c>
      <c r="I135" s="7" t="s">
        <v>81</v>
      </c>
      <c r="J135" s="8" t="s">
        <v>55</v>
      </c>
      <c r="K135" s="9" t="n">
        <v>0</v>
      </c>
      <c r="L135" s="10"/>
      <c r="M135" s="8"/>
      <c r="N135" s="8"/>
    </row>
    <row r="136" customFormat="false" ht="23.25" hidden="false" customHeight="true" outlineLevel="0" collapsed="false">
      <c r="A136" s="7" t="s">
        <v>529</v>
      </c>
      <c r="B136" s="7" t="s">
        <v>492</v>
      </c>
      <c r="C136" s="7" t="s">
        <v>530</v>
      </c>
      <c r="D136" s="7" t="s">
        <v>531</v>
      </c>
      <c r="E136" s="7" t="s">
        <v>532</v>
      </c>
      <c r="F136" s="7" t="s">
        <v>59</v>
      </c>
      <c r="G136" s="7"/>
      <c r="H136" s="7"/>
      <c r="I136" s="7" t="s">
        <v>81</v>
      </c>
      <c r="J136" s="8" t="s">
        <v>55</v>
      </c>
      <c r="K136" s="9" t="n">
        <v>0</v>
      </c>
      <c r="L136" s="10"/>
      <c r="M136" s="8"/>
      <c r="N136" s="8"/>
    </row>
    <row r="137" customFormat="false" ht="23.25" hidden="false" customHeight="true" outlineLevel="0" collapsed="false">
      <c r="A137" s="7" t="s">
        <v>533</v>
      </c>
      <c r="B137" s="7" t="s">
        <v>492</v>
      </c>
      <c r="C137" s="7" t="s">
        <v>493</v>
      </c>
      <c r="D137" s="7" t="s">
        <v>534</v>
      </c>
      <c r="E137" s="7" t="s">
        <v>532</v>
      </c>
      <c r="F137" s="7" t="s">
        <v>53</v>
      </c>
      <c r="G137" s="7"/>
      <c r="H137" s="7"/>
      <c r="I137" s="7" t="s">
        <v>99</v>
      </c>
      <c r="J137" s="8" t="s">
        <v>55</v>
      </c>
      <c r="K137" s="9" t="n">
        <v>0</v>
      </c>
      <c r="L137" s="10"/>
      <c r="M137" s="8"/>
      <c r="N137" s="8"/>
    </row>
    <row r="138" customFormat="false" ht="15" hidden="false" customHeight="true" outlineLevel="0" collapsed="false">
      <c r="A138" s="7" t="s">
        <v>535</v>
      </c>
      <c r="B138" s="7" t="s">
        <v>492</v>
      </c>
      <c r="C138" s="7" t="s">
        <v>536</v>
      </c>
      <c r="D138" s="7" t="s">
        <v>537</v>
      </c>
      <c r="E138" s="7" t="s">
        <v>532</v>
      </c>
      <c r="F138" s="7" t="s">
        <v>59</v>
      </c>
      <c r="G138" s="7"/>
      <c r="H138" s="7" t="s">
        <v>538</v>
      </c>
      <c r="I138" s="7" t="s">
        <v>539</v>
      </c>
      <c r="J138" s="8" t="s">
        <v>55</v>
      </c>
      <c r="K138" s="9" t="n">
        <v>0</v>
      </c>
      <c r="L138" s="10"/>
      <c r="M138" s="8"/>
      <c r="N138" s="8"/>
    </row>
    <row r="139" customFormat="false" ht="23.25" hidden="false" customHeight="true" outlineLevel="0" collapsed="false">
      <c r="A139" s="7" t="s">
        <v>540</v>
      </c>
      <c r="B139" s="7" t="s">
        <v>492</v>
      </c>
      <c r="C139" s="7" t="s">
        <v>536</v>
      </c>
      <c r="D139" s="7" t="s">
        <v>541</v>
      </c>
      <c r="E139" s="7" t="s">
        <v>532</v>
      </c>
      <c r="F139" s="7" t="s">
        <v>174</v>
      </c>
      <c r="G139" s="7" t="s">
        <v>542</v>
      </c>
      <c r="H139" s="7" t="s">
        <v>543</v>
      </c>
      <c r="I139" s="7" t="s">
        <v>544</v>
      </c>
      <c r="J139" s="8" t="s">
        <v>55</v>
      </c>
      <c r="K139" s="9" t="n">
        <v>0</v>
      </c>
      <c r="L139" s="10"/>
      <c r="M139" s="8"/>
      <c r="N139" s="8"/>
    </row>
    <row r="140" customFormat="false" ht="23.25" hidden="false" customHeight="true" outlineLevel="0" collapsed="false">
      <c r="A140" s="7" t="s">
        <v>545</v>
      </c>
      <c r="B140" s="7" t="s">
        <v>492</v>
      </c>
      <c r="C140" s="7" t="s">
        <v>536</v>
      </c>
      <c r="D140" s="7" t="s">
        <v>546</v>
      </c>
      <c r="E140" s="7" t="s">
        <v>532</v>
      </c>
      <c r="F140" s="7" t="s">
        <v>53</v>
      </c>
      <c r="G140" s="7"/>
      <c r="H140" s="7" t="s">
        <v>547</v>
      </c>
      <c r="I140" s="7" t="s">
        <v>99</v>
      </c>
      <c r="J140" s="8" t="s">
        <v>55</v>
      </c>
      <c r="K140" s="9" t="n">
        <v>0</v>
      </c>
      <c r="L140" s="10"/>
      <c r="M140" s="8"/>
      <c r="N140" s="8"/>
    </row>
    <row r="141" customFormat="false" ht="23.25" hidden="false" customHeight="true" outlineLevel="0" collapsed="false">
      <c r="A141" s="7" t="s">
        <v>548</v>
      </c>
      <c r="B141" s="7" t="s">
        <v>492</v>
      </c>
      <c r="C141" s="7" t="s">
        <v>536</v>
      </c>
      <c r="D141" s="7" t="s">
        <v>549</v>
      </c>
      <c r="E141" s="7" t="s">
        <v>532</v>
      </c>
      <c r="F141" s="7" t="s">
        <v>53</v>
      </c>
      <c r="G141" s="7"/>
      <c r="H141" s="7"/>
      <c r="I141" s="7" t="s">
        <v>99</v>
      </c>
      <c r="J141" s="8" t="s">
        <v>55</v>
      </c>
      <c r="K141" s="9" t="n">
        <v>0</v>
      </c>
      <c r="L141" s="10"/>
      <c r="M141" s="8"/>
      <c r="N141" s="8"/>
    </row>
    <row r="142" customFormat="false" ht="23.25" hidden="false" customHeight="true" outlineLevel="0" collapsed="false">
      <c r="A142" s="7" t="s">
        <v>550</v>
      </c>
      <c r="B142" s="7" t="s">
        <v>492</v>
      </c>
      <c r="C142" s="7" t="s">
        <v>536</v>
      </c>
      <c r="D142" s="7" t="s">
        <v>551</v>
      </c>
      <c r="E142" s="7" t="s">
        <v>552</v>
      </c>
      <c r="F142" s="7" t="s">
        <v>59</v>
      </c>
      <c r="G142" s="7"/>
      <c r="H142" s="7" t="s">
        <v>553</v>
      </c>
      <c r="I142" s="7" t="s">
        <v>81</v>
      </c>
      <c r="J142" s="8" t="s">
        <v>55</v>
      </c>
      <c r="K142" s="9" t="n">
        <v>0</v>
      </c>
      <c r="L142" s="10"/>
      <c r="M142" s="8"/>
      <c r="N142" s="8"/>
    </row>
    <row r="143" customFormat="false" ht="23.25" hidden="false" customHeight="true" outlineLevel="0" collapsed="false">
      <c r="A143" s="7" t="s">
        <v>554</v>
      </c>
      <c r="B143" s="7" t="s">
        <v>555</v>
      </c>
      <c r="C143" s="7" t="s">
        <v>556</v>
      </c>
      <c r="D143" s="7" t="s">
        <v>557</v>
      </c>
      <c r="E143" s="7" t="s">
        <v>558</v>
      </c>
      <c r="F143" s="7" t="s">
        <v>59</v>
      </c>
      <c r="G143" s="7"/>
      <c r="H143" s="7"/>
      <c r="I143" s="7" t="s">
        <v>81</v>
      </c>
      <c r="J143" s="8" t="s">
        <v>55</v>
      </c>
      <c r="K143" s="9" t="n">
        <v>0</v>
      </c>
      <c r="L143" s="10"/>
      <c r="M143" s="8"/>
      <c r="N143" s="8"/>
    </row>
    <row r="144" customFormat="false" ht="23.25" hidden="false" customHeight="true" outlineLevel="0" collapsed="false">
      <c r="A144" s="7" t="s">
        <v>559</v>
      </c>
      <c r="B144" s="7" t="s">
        <v>555</v>
      </c>
      <c r="C144" s="7" t="s">
        <v>560</v>
      </c>
      <c r="D144" s="7" t="s">
        <v>561</v>
      </c>
      <c r="E144" s="7" t="s">
        <v>558</v>
      </c>
      <c r="F144" s="7" t="s">
        <v>174</v>
      </c>
      <c r="G144" s="7" t="s">
        <v>562</v>
      </c>
      <c r="H144" s="7" t="s">
        <v>563</v>
      </c>
      <c r="I144" s="7" t="s">
        <v>564</v>
      </c>
      <c r="J144" s="8" t="s">
        <v>55</v>
      </c>
      <c r="K144" s="9" t="n">
        <v>0</v>
      </c>
      <c r="L144" s="10"/>
      <c r="M144" s="8"/>
      <c r="N144" s="8"/>
    </row>
    <row r="145" customFormat="false" ht="23.25" hidden="false" customHeight="true" outlineLevel="0" collapsed="false">
      <c r="A145" s="7" t="s">
        <v>565</v>
      </c>
      <c r="B145" s="7" t="s">
        <v>555</v>
      </c>
      <c r="C145" s="7" t="s">
        <v>560</v>
      </c>
      <c r="D145" s="7" t="s">
        <v>566</v>
      </c>
      <c r="E145" s="7" t="s">
        <v>558</v>
      </c>
      <c r="F145" s="7" t="s">
        <v>53</v>
      </c>
      <c r="G145" s="7"/>
      <c r="H145" s="7"/>
      <c r="I145" s="7" t="s">
        <v>99</v>
      </c>
      <c r="J145" s="8" t="s">
        <v>55</v>
      </c>
      <c r="K145" s="9" t="n">
        <v>0</v>
      </c>
      <c r="L145" s="10"/>
      <c r="M145" s="8"/>
      <c r="N145" s="8"/>
    </row>
    <row r="146" customFormat="false" ht="23.25" hidden="false" customHeight="true" outlineLevel="0" collapsed="false">
      <c r="A146" s="7" t="s">
        <v>567</v>
      </c>
      <c r="B146" s="7" t="s">
        <v>555</v>
      </c>
      <c r="C146" s="7" t="s">
        <v>560</v>
      </c>
      <c r="D146" s="7" t="s">
        <v>568</v>
      </c>
      <c r="E146" s="7" t="s">
        <v>558</v>
      </c>
      <c r="F146" s="7" t="s">
        <v>59</v>
      </c>
      <c r="G146" s="7"/>
      <c r="H146" s="7"/>
      <c r="I146" s="7" t="s">
        <v>81</v>
      </c>
      <c r="J146" s="8" t="s">
        <v>55</v>
      </c>
      <c r="K146" s="9" t="n">
        <v>0</v>
      </c>
      <c r="L146" s="10"/>
      <c r="M146" s="8"/>
      <c r="N146" s="8"/>
    </row>
    <row r="147" customFormat="false" ht="23.25" hidden="false" customHeight="true" outlineLevel="0" collapsed="false">
      <c r="A147" s="7" t="s">
        <v>569</v>
      </c>
      <c r="B147" s="7" t="s">
        <v>555</v>
      </c>
      <c r="C147" s="7" t="s">
        <v>560</v>
      </c>
      <c r="D147" s="7" t="s">
        <v>570</v>
      </c>
      <c r="E147" s="7" t="s">
        <v>558</v>
      </c>
      <c r="F147" s="7" t="s">
        <v>59</v>
      </c>
      <c r="G147" s="7"/>
      <c r="H147" s="7"/>
      <c r="I147" s="7" t="s">
        <v>81</v>
      </c>
      <c r="J147" s="8" t="s">
        <v>55</v>
      </c>
      <c r="K147" s="9" t="n">
        <v>0</v>
      </c>
      <c r="L147" s="10"/>
      <c r="M147" s="8"/>
      <c r="N147" s="8"/>
    </row>
    <row r="148" customFormat="false" ht="34.5" hidden="false" customHeight="true" outlineLevel="0" collapsed="false">
      <c r="A148" s="7" t="s">
        <v>571</v>
      </c>
      <c r="B148" s="7" t="s">
        <v>555</v>
      </c>
      <c r="C148" s="7" t="s">
        <v>572</v>
      </c>
      <c r="D148" s="7" t="s">
        <v>573</v>
      </c>
      <c r="E148" s="7" t="s">
        <v>574</v>
      </c>
      <c r="F148" s="7" t="s">
        <v>174</v>
      </c>
      <c r="G148" s="7" t="s">
        <v>575</v>
      </c>
      <c r="H148" s="7"/>
      <c r="I148" s="7" t="s">
        <v>576</v>
      </c>
      <c r="J148" s="8" t="s">
        <v>55</v>
      </c>
      <c r="K148" s="9" t="n">
        <v>0</v>
      </c>
      <c r="L148" s="10"/>
      <c r="M148" s="8"/>
      <c r="N148" s="8"/>
    </row>
    <row r="149" customFormat="false" ht="23.25" hidden="false" customHeight="true" outlineLevel="0" collapsed="false">
      <c r="A149" s="7" t="s">
        <v>577</v>
      </c>
      <c r="B149" s="7" t="s">
        <v>555</v>
      </c>
      <c r="C149" s="7" t="s">
        <v>572</v>
      </c>
      <c r="D149" s="7" t="s">
        <v>578</v>
      </c>
      <c r="E149" s="7" t="s">
        <v>579</v>
      </c>
      <c r="F149" s="7" t="s">
        <v>53</v>
      </c>
      <c r="G149" s="7"/>
      <c r="H149" s="7"/>
      <c r="I149" s="7" t="s">
        <v>99</v>
      </c>
      <c r="J149" s="8" t="s">
        <v>55</v>
      </c>
      <c r="K149" s="9" t="n">
        <v>0</v>
      </c>
      <c r="L149" s="10"/>
      <c r="M149" s="8"/>
      <c r="N149" s="8"/>
    </row>
    <row r="150" customFormat="false" ht="15" hidden="false" customHeight="true" outlineLevel="0" collapsed="false">
      <c r="A150" s="7" t="s">
        <v>580</v>
      </c>
      <c r="B150" s="7" t="s">
        <v>555</v>
      </c>
      <c r="C150" s="7" t="s">
        <v>581</v>
      </c>
      <c r="D150" s="7" t="s">
        <v>582</v>
      </c>
      <c r="E150" s="7" t="s">
        <v>579</v>
      </c>
      <c r="F150" s="7" t="s">
        <v>59</v>
      </c>
      <c r="G150" s="7"/>
      <c r="H150" s="7" t="s">
        <v>583</v>
      </c>
      <c r="I150" s="7" t="s">
        <v>584</v>
      </c>
      <c r="J150" s="8" t="s">
        <v>55</v>
      </c>
      <c r="K150" s="9" t="n">
        <v>0</v>
      </c>
      <c r="L150" s="10"/>
      <c r="M150" s="8"/>
      <c r="N150" s="8"/>
    </row>
    <row r="151" customFormat="false" ht="23.25" hidden="false" customHeight="true" outlineLevel="0" collapsed="false">
      <c r="A151" s="7" t="s">
        <v>585</v>
      </c>
      <c r="B151" s="7" t="s">
        <v>555</v>
      </c>
      <c r="C151" s="7" t="s">
        <v>586</v>
      </c>
      <c r="D151" s="7" t="s">
        <v>587</v>
      </c>
      <c r="E151" s="7" t="s">
        <v>579</v>
      </c>
      <c r="F151" s="7" t="s">
        <v>174</v>
      </c>
      <c r="G151" s="7" t="s">
        <v>588</v>
      </c>
      <c r="H151" s="7" t="s">
        <v>589</v>
      </c>
      <c r="I151" s="7" t="s">
        <v>334</v>
      </c>
      <c r="J151" s="8" t="s">
        <v>55</v>
      </c>
      <c r="K151" s="9" t="n">
        <v>0</v>
      </c>
      <c r="L151" s="10"/>
      <c r="M151" s="8"/>
      <c r="N151" s="8"/>
    </row>
    <row r="152" customFormat="false" ht="23.25" hidden="false" customHeight="true" outlineLevel="0" collapsed="false">
      <c r="A152" s="7" t="s">
        <v>590</v>
      </c>
      <c r="B152" s="7" t="s">
        <v>555</v>
      </c>
      <c r="C152" s="7" t="s">
        <v>586</v>
      </c>
      <c r="D152" s="7" t="s">
        <v>591</v>
      </c>
      <c r="E152" s="7" t="s">
        <v>579</v>
      </c>
      <c r="F152" s="7" t="s">
        <v>174</v>
      </c>
      <c r="G152" s="7" t="s">
        <v>592</v>
      </c>
      <c r="H152" s="7" t="s">
        <v>589</v>
      </c>
      <c r="I152" s="7" t="s">
        <v>334</v>
      </c>
      <c r="J152" s="8" t="s">
        <v>55</v>
      </c>
      <c r="K152" s="9" t="n">
        <v>0</v>
      </c>
      <c r="L152" s="10"/>
      <c r="M152" s="8"/>
      <c r="N152" s="8"/>
    </row>
    <row r="153" customFormat="false" ht="23.25" hidden="false" customHeight="true" outlineLevel="0" collapsed="false">
      <c r="A153" s="7" t="s">
        <v>593</v>
      </c>
      <c r="B153" s="7" t="s">
        <v>555</v>
      </c>
      <c r="C153" s="7" t="s">
        <v>586</v>
      </c>
      <c r="D153" s="7" t="s">
        <v>594</v>
      </c>
      <c r="E153" s="7" t="s">
        <v>579</v>
      </c>
      <c r="F153" s="7" t="s">
        <v>59</v>
      </c>
      <c r="G153" s="7"/>
      <c r="H153" s="7"/>
      <c r="I153" s="7" t="s">
        <v>81</v>
      </c>
      <c r="J153" s="8" t="s">
        <v>55</v>
      </c>
      <c r="K153" s="9" t="n">
        <v>0</v>
      </c>
      <c r="L153" s="10"/>
      <c r="M153" s="8"/>
      <c r="N153" s="8"/>
    </row>
    <row r="154" customFormat="false" ht="23.25" hidden="false" customHeight="true" outlineLevel="0" collapsed="false">
      <c r="A154" s="7" t="s">
        <v>595</v>
      </c>
      <c r="B154" s="7" t="s">
        <v>555</v>
      </c>
      <c r="C154" s="7" t="s">
        <v>596</v>
      </c>
      <c r="D154" s="7" t="s">
        <v>597</v>
      </c>
      <c r="E154" s="7" t="s">
        <v>598</v>
      </c>
      <c r="F154" s="7" t="s">
        <v>59</v>
      </c>
      <c r="G154" s="7"/>
      <c r="H154" s="7" t="s">
        <v>599</v>
      </c>
      <c r="I154" s="7" t="s">
        <v>81</v>
      </c>
      <c r="J154" s="8" t="s">
        <v>55</v>
      </c>
      <c r="K154" s="9" t="n">
        <v>0</v>
      </c>
      <c r="L154" s="10"/>
      <c r="M154" s="8"/>
      <c r="N154" s="8"/>
    </row>
    <row r="155" customFormat="false" ht="23.25" hidden="false" customHeight="true" outlineLevel="0" collapsed="false">
      <c r="A155" s="7" t="s">
        <v>600</v>
      </c>
      <c r="B155" s="7" t="s">
        <v>555</v>
      </c>
      <c r="C155" s="7" t="s">
        <v>596</v>
      </c>
      <c r="D155" s="7" t="s">
        <v>601</v>
      </c>
      <c r="E155" s="7" t="s">
        <v>598</v>
      </c>
      <c r="F155" s="7" t="s">
        <v>59</v>
      </c>
      <c r="G155" s="7"/>
      <c r="H155" s="7"/>
      <c r="I155" s="7" t="s">
        <v>81</v>
      </c>
      <c r="J155" s="8" t="s">
        <v>55</v>
      </c>
      <c r="K155" s="9" t="n">
        <v>0</v>
      </c>
      <c r="L155" s="10"/>
      <c r="M155" s="8"/>
      <c r="N155" s="8"/>
    </row>
    <row r="156" customFormat="false" ht="23.25" hidden="false" customHeight="true" outlineLevel="0" collapsed="false">
      <c r="A156" s="7" t="s">
        <v>602</v>
      </c>
      <c r="B156" s="7" t="s">
        <v>555</v>
      </c>
      <c r="C156" s="7" t="s">
        <v>603</v>
      </c>
      <c r="D156" s="7" t="s">
        <v>604</v>
      </c>
      <c r="E156" s="7" t="s">
        <v>598</v>
      </c>
      <c r="F156" s="7" t="s">
        <v>59</v>
      </c>
      <c r="G156" s="7"/>
      <c r="H156" s="7"/>
      <c r="I156" s="7" t="s">
        <v>81</v>
      </c>
      <c r="J156" s="8" t="s">
        <v>55</v>
      </c>
      <c r="K156" s="9" t="n">
        <v>0</v>
      </c>
      <c r="L156" s="10"/>
      <c r="M156" s="8"/>
      <c r="N156" s="8"/>
    </row>
    <row r="157" customFormat="false" ht="23.25" hidden="false" customHeight="true" outlineLevel="0" collapsed="false">
      <c r="A157" s="7" t="s">
        <v>605</v>
      </c>
      <c r="B157" s="7" t="s">
        <v>606</v>
      </c>
      <c r="C157" s="7" t="s">
        <v>607</v>
      </c>
      <c r="D157" s="7" t="s">
        <v>608</v>
      </c>
      <c r="E157" s="7" t="s">
        <v>609</v>
      </c>
      <c r="F157" s="7" t="s">
        <v>59</v>
      </c>
      <c r="G157" s="7"/>
      <c r="H157" s="7"/>
      <c r="I157" s="7" t="s">
        <v>610</v>
      </c>
      <c r="J157" s="8" t="s">
        <v>55</v>
      </c>
      <c r="K157" s="9" t="n">
        <v>0</v>
      </c>
      <c r="L157" s="10"/>
      <c r="M157" s="8"/>
      <c r="N157" s="8"/>
    </row>
    <row r="158" customFormat="false" ht="23.25" hidden="false" customHeight="true" outlineLevel="0" collapsed="false">
      <c r="A158" s="7" t="s">
        <v>611</v>
      </c>
      <c r="B158" s="7" t="s">
        <v>606</v>
      </c>
      <c r="C158" s="7" t="s">
        <v>612</v>
      </c>
      <c r="D158" s="7" t="s">
        <v>613</v>
      </c>
      <c r="E158" s="7" t="s">
        <v>609</v>
      </c>
      <c r="F158" s="7" t="s">
        <v>59</v>
      </c>
      <c r="G158" s="7"/>
      <c r="H158" s="7" t="s">
        <v>614</v>
      </c>
      <c r="I158" s="7" t="s">
        <v>615</v>
      </c>
      <c r="J158" s="8" t="s">
        <v>55</v>
      </c>
      <c r="K158" s="9" t="n">
        <v>0</v>
      </c>
      <c r="L158" s="10"/>
      <c r="M158" s="8"/>
      <c r="N158" s="8"/>
    </row>
    <row r="159" customFormat="false" ht="15" hidden="false" customHeight="true" outlineLevel="0" collapsed="false">
      <c r="A159" s="7" t="s">
        <v>616</v>
      </c>
      <c r="B159" s="7" t="s">
        <v>606</v>
      </c>
      <c r="C159" s="7" t="s">
        <v>617</v>
      </c>
      <c r="D159" s="7" t="s">
        <v>618</v>
      </c>
      <c r="E159" s="7" t="s">
        <v>609</v>
      </c>
      <c r="F159" s="7" t="s">
        <v>59</v>
      </c>
      <c r="G159" s="7"/>
      <c r="H159" s="7" t="s">
        <v>619</v>
      </c>
      <c r="I159" s="7" t="s">
        <v>620</v>
      </c>
      <c r="J159" s="8" t="s">
        <v>55</v>
      </c>
      <c r="K159" s="9" t="n">
        <v>0</v>
      </c>
      <c r="L159" s="10"/>
      <c r="M159" s="8"/>
      <c r="N159" s="8"/>
    </row>
    <row r="160" customFormat="false" ht="23.25" hidden="false" customHeight="true" outlineLevel="0" collapsed="false">
      <c r="A160" s="7" t="s">
        <v>621</v>
      </c>
      <c r="B160" s="7" t="s">
        <v>606</v>
      </c>
      <c r="C160" s="7" t="s">
        <v>622</v>
      </c>
      <c r="D160" s="7" t="s">
        <v>623</v>
      </c>
      <c r="E160" s="7" t="s">
        <v>609</v>
      </c>
      <c r="F160" s="7" t="s">
        <v>59</v>
      </c>
      <c r="G160" s="7"/>
      <c r="H160" s="7"/>
      <c r="I160" s="7" t="s">
        <v>81</v>
      </c>
      <c r="J160" s="8" t="s">
        <v>55</v>
      </c>
      <c r="K160" s="9" t="n">
        <v>0</v>
      </c>
      <c r="L160" s="10"/>
      <c r="M160" s="8"/>
      <c r="N160" s="8"/>
    </row>
    <row r="161" customFormat="false" ht="23.25" hidden="false" customHeight="true" outlineLevel="0" collapsed="false">
      <c r="A161" s="7" t="s">
        <v>624</v>
      </c>
      <c r="B161" s="7" t="s">
        <v>606</v>
      </c>
      <c r="C161" s="7" t="s">
        <v>625</v>
      </c>
      <c r="D161" s="7" t="s">
        <v>626</v>
      </c>
      <c r="E161" s="7" t="s">
        <v>609</v>
      </c>
      <c r="F161" s="7" t="s">
        <v>59</v>
      </c>
      <c r="G161" s="7"/>
      <c r="H161" s="7"/>
      <c r="I161" s="7" t="s">
        <v>81</v>
      </c>
      <c r="J161" s="8" t="s">
        <v>55</v>
      </c>
      <c r="K161" s="9" t="n">
        <v>0</v>
      </c>
      <c r="L161" s="10"/>
      <c r="M161" s="8"/>
      <c r="N161" s="8"/>
    </row>
    <row r="162" customFormat="false" ht="23.25" hidden="false" customHeight="true" outlineLevel="0" collapsed="false">
      <c r="A162" s="7" t="s">
        <v>627</v>
      </c>
      <c r="B162" s="7" t="s">
        <v>606</v>
      </c>
      <c r="C162" s="7" t="s">
        <v>628</v>
      </c>
      <c r="D162" s="7" t="s">
        <v>629</v>
      </c>
      <c r="E162" s="7" t="s">
        <v>630</v>
      </c>
      <c r="F162" s="7" t="s">
        <v>59</v>
      </c>
      <c r="G162" s="7"/>
      <c r="H162" s="7" t="s">
        <v>631</v>
      </c>
      <c r="I162" s="7" t="s">
        <v>632</v>
      </c>
      <c r="J162" s="8" t="s">
        <v>55</v>
      </c>
      <c r="K162" s="9" t="n">
        <v>0</v>
      </c>
      <c r="L162" s="10"/>
      <c r="M162" s="8"/>
      <c r="N162" s="8"/>
    </row>
    <row r="163" customFormat="false" ht="15" hidden="false" customHeight="true" outlineLevel="0" collapsed="false">
      <c r="A163" s="7" t="s">
        <v>633</v>
      </c>
      <c r="B163" s="7" t="s">
        <v>606</v>
      </c>
      <c r="C163" s="7" t="s">
        <v>634</v>
      </c>
      <c r="D163" s="7" t="s">
        <v>635</v>
      </c>
      <c r="E163" s="7" t="s">
        <v>630</v>
      </c>
      <c r="F163" s="7" t="s">
        <v>59</v>
      </c>
      <c r="G163" s="7"/>
      <c r="H163" s="7"/>
      <c r="I163" s="7" t="s">
        <v>636</v>
      </c>
      <c r="J163" s="8" t="s">
        <v>55</v>
      </c>
      <c r="K163" s="9" t="n">
        <v>0</v>
      </c>
      <c r="L163" s="10"/>
      <c r="M163" s="8"/>
      <c r="N163" s="8"/>
    </row>
    <row r="164" customFormat="false" ht="23.25" hidden="false" customHeight="true" outlineLevel="0" collapsed="false">
      <c r="A164" s="7" t="s">
        <v>637</v>
      </c>
      <c r="B164" s="7" t="s">
        <v>606</v>
      </c>
      <c r="C164" s="7" t="s">
        <v>634</v>
      </c>
      <c r="D164" s="7" t="s">
        <v>638</v>
      </c>
      <c r="E164" s="7" t="s">
        <v>639</v>
      </c>
      <c r="F164" s="7" t="s">
        <v>59</v>
      </c>
      <c r="G164" s="7"/>
      <c r="H164" s="7" t="s">
        <v>640</v>
      </c>
      <c r="I164" s="7" t="s">
        <v>81</v>
      </c>
      <c r="J164" s="8" t="s">
        <v>55</v>
      </c>
      <c r="K164" s="9" t="n">
        <v>0</v>
      </c>
      <c r="L164" s="10"/>
      <c r="M164" s="8"/>
      <c r="N164" s="8"/>
    </row>
    <row r="165" customFormat="false" ht="23.25" hidden="false" customHeight="true" outlineLevel="0" collapsed="false">
      <c r="A165" s="7" t="s">
        <v>641</v>
      </c>
      <c r="B165" s="7" t="s">
        <v>606</v>
      </c>
      <c r="C165" s="7" t="s">
        <v>628</v>
      </c>
      <c r="D165" s="7" t="s">
        <v>642</v>
      </c>
      <c r="E165" s="7" t="s">
        <v>643</v>
      </c>
      <c r="F165" s="7" t="s">
        <v>59</v>
      </c>
      <c r="G165" s="7"/>
      <c r="H165" s="7"/>
      <c r="I165" s="7" t="s">
        <v>81</v>
      </c>
      <c r="J165" s="8" t="s">
        <v>55</v>
      </c>
      <c r="K165" s="9" t="n">
        <v>0</v>
      </c>
      <c r="L165" s="10"/>
      <c r="M165" s="8"/>
      <c r="N165" s="8"/>
    </row>
    <row r="166" customFormat="false" ht="23.25" hidden="false" customHeight="true" outlineLevel="0" collapsed="false">
      <c r="A166" s="7" t="s">
        <v>644</v>
      </c>
      <c r="B166" s="7" t="s">
        <v>606</v>
      </c>
      <c r="C166" s="7" t="s">
        <v>645</v>
      </c>
      <c r="D166" s="7" t="s">
        <v>646</v>
      </c>
      <c r="E166" s="7" t="s">
        <v>643</v>
      </c>
      <c r="F166" s="7" t="s">
        <v>53</v>
      </c>
      <c r="G166" s="7"/>
      <c r="H166" s="7"/>
      <c r="I166" s="7" t="s">
        <v>99</v>
      </c>
      <c r="J166" s="8" t="s">
        <v>55</v>
      </c>
      <c r="K166" s="9" t="n">
        <v>0</v>
      </c>
      <c r="L166" s="10"/>
      <c r="M166" s="8"/>
      <c r="N166" s="8"/>
    </row>
    <row r="167" customFormat="false" ht="23.25" hidden="false" customHeight="true" outlineLevel="0" collapsed="false">
      <c r="A167" s="7" t="s">
        <v>647</v>
      </c>
      <c r="B167" s="7" t="s">
        <v>606</v>
      </c>
      <c r="C167" s="7" t="s">
        <v>645</v>
      </c>
      <c r="D167" s="7" t="s">
        <v>648</v>
      </c>
      <c r="E167" s="7" t="s">
        <v>643</v>
      </c>
      <c r="F167" s="7" t="s">
        <v>53</v>
      </c>
      <c r="G167" s="7"/>
      <c r="H167" s="7"/>
      <c r="I167" s="7" t="s">
        <v>99</v>
      </c>
      <c r="J167" s="8" t="s">
        <v>55</v>
      </c>
      <c r="K167" s="9" t="n">
        <v>0</v>
      </c>
      <c r="L167" s="10"/>
      <c r="M167" s="8"/>
      <c r="N167" s="8"/>
    </row>
    <row r="168" customFormat="false" ht="23.25" hidden="false" customHeight="true" outlineLevel="0" collapsed="false">
      <c r="A168" s="7" t="s">
        <v>649</v>
      </c>
      <c r="B168" s="7" t="s">
        <v>606</v>
      </c>
      <c r="C168" s="7" t="s">
        <v>628</v>
      </c>
      <c r="D168" s="7" t="s">
        <v>650</v>
      </c>
      <c r="E168" s="7" t="s">
        <v>651</v>
      </c>
      <c r="F168" s="7" t="s">
        <v>59</v>
      </c>
      <c r="G168" s="7"/>
      <c r="H168" s="7"/>
      <c r="I168" s="7" t="s">
        <v>81</v>
      </c>
      <c r="J168" s="8" t="s">
        <v>55</v>
      </c>
      <c r="K168" s="9" t="n">
        <v>0</v>
      </c>
      <c r="L168" s="10"/>
      <c r="M168" s="8"/>
      <c r="N168" s="8"/>
    </row>
    <row r="169" customFormat="false" ht="23.25" hidden="false" customHeight="true" outlineLevel="0" collapsed="false">
      <c r="A169" s="7" t="s">
        <v>652</v>
      </c>
      <c r="B169" s="7" t="s">
        <v>606</v>
      </c>
      <c r="C169" s="7" t="s">
        <v>653</v>
      </c>
      <c r="D169" s="7" t="s">
        <v>654</v>
      </c>
      <c r="E169" s="7" t="s">
        <v>651</v>
      </c>
      <c r="F169" s="7" t="s">
        <v>53</v>
      </c>
      <c r="G169" s="7"/>
      <c r="H169" s="7"/>
      <c r="I169" s="7" t="s">
        <v>99</v>
      </c>
      <c r="J169" s="8" t="s">
        <v>55</v>
      </c>
      <c r="K169" s="9" t="n">
        <v>0</v>
      </c>
      <c r="L169" s="10"/>
      <c r="M169" s="8"/>
      <c r="N169" s="8"/>
    </row>
    <row r="170" customFormat="false" ht="23.25" hidden="false" customHeight="true" outlineLevel="0" collapsed="false">
      <c r="A170" s="7" t="s">
        <v>655</v>
      </c>
      <c r="B170" s="7" t="s">
        <v>606</v>
      </c>
      <c r="C170" s="7" t="s">
        <v>656</v>
      </c>
      <c r="D170" s="7" t="s">
        <v>657</v>
      </c>
      <c r="E170" s="7" t="s">
        <v>651</v>
      </c>
      <c r="F170" s="7" t="s">
        <v>59</v>
      </c>
      <c r="G170" s="7"/>
      <c r="H170" s="7"/>
      <c r="I170" s="7" t="s">
        <v>81</v>
      </c>
      <c r="J170" s="8" t="s">
        <v>55</v>
      </c>
      <c r="K170" s="9" t="n">
        <v>0</v>
      </c>
      <c r="L170" s="10"/>
      <c r="M170" s="8"/>
      <c r="N170" s="8"/>
    </row>
    <row r="171" customFormat="false" ht="23.25" hidden="false" customHeight="true" outlineLevel="0" collapsed="false">
      <c r="A171" s="7" t="s">
        <v>658</v>
      </c>
      <c r="B171" s="7" t="s">
        <v>606</v>
      </c>
      <c r="C171" s="7" t="s">
        <v>659</v>
      </c>
      <c r="D171" s="7" t="s">
        <v>660</v>
      </c>
      <c r="E171" s="7" t="s">
        <v>661</v>
      </c>
      <c r="F171" s="7" t="s">
        <v>53</v>
      </c>
      <c r="G171" s="7"/>
      <c r="H171" s="7" t="s">
        <v>662</v>
      </c>
      <c r="I171" s="7" t="s">
        <v>334</v>
      </c>
      <c r="J171" s="8" t="s">
        <v>55</v>
      </c>
      <c r="K171" s="9" t="n">
        <v>0</v>
      </c>
      <c r="L171" s="10"/>
      <c r="M171" s="8"/>
      <c r="N171" s="8"/>
    </row>
    <row r="172" customFormat="false" ht="23.25" hidden="false" customHeight="true" outlineLevel="0" collapsed="false">
      <c r="A172" s="7" t="s">
        <v>663</v>
      </c>
      <c r="B172" s="7" t="s">
        <v>606</v>
      </c>
      <c r="C172" s="7" t="s">
        <v>659</v>
      </c>
      <c r="D172" s="7" t="s">
        <v>664</v>
      </c>
      <c r="E172" s="7" t="s">
        <v>665</v>
      </c>
      <c r="F172" s="7" t="s">
        <v>59</v>
      </c>
      <c r="G172" s="7"/>
      <c r="H172" s="7"/>
      <c r="I172" s="7" t="s">
        <v>81</v>
      </c>
      <c r="J172" s="8" t="s">
        <v>55</v>
      </c>
      <c r="K172" s="9" t="n">
        <v>0</v>
      </c>
      <c r="L172" s="10"/>
      <c r="M172" s="8"/>
      <c r="N172" s="8"/>
    </row>
    <row r="173" customFormat="false" ht="23.25" hidden="false" customHeight="true" outlineLevel="0" collapsed="false">
      <c r="A173" s="7" t="s">
        <v>666</v>
      </c>
      <c r="B173" s="7" t="s">
        <v>606</v>
      </c>
      <c r="C173" s="7" t="s">
        <v>659</v>
      </c>
      <c r="D173" s="7" t="s">
        <v>667</v>
      </c>
      <c r="E173" s="7" t="s">
        <v>665</v>
      </c>
      <c r="F173" s="7" t="s">
        <v>59</v>
      </c>
      <c r="G173" s="7"/>
      <c r="H173" s="7"/>
      <c r="I173" s="7" t="s">
        <v>81</v>
      </c>
      <c r="J173" s="8" t="s">
        <v>55</v>
      </c>
      <c r="K173" s="9" t="n">
        <v>0</v>
      </c>
      <c r="L173" s="10"/>
      <c r="M173" s="8"/>
      <c r="N173" s="8"/>
    </row>
    <row r="174" customFormat="false" ht="23.25" hidden="false" customHeight="true" outlineLevel="0" collapsed="false">
      <c r="A174" s="7" t="s">
        <v>668</v>
      </c>
      <c r="B174" s="7" t="s">
        <v>606</v>
      </c>
      <c r="C174" s="7" t="s">
        <v>659</v>
      </c>
      <c r="D174" s="7" t="s">
        <v>669</v>
      </c>
      <c r="E174" s="7" t="s">
        <v>670</v>
      </c>
      <c r="F174" s="7" t="s">
        <v>59</v>
      </c>
      <c r="G174" s="7"/>
      <c r="H174" s="7"/>
      <c r="I174" s="7" t="s">
        <v>81</v>
      </c>
      <c r="J174" s="8" t="s">
        <v>55</v>
      </c>
      <c r="K174" s="9" t="n">
        <v>0</v>
      </c>
      <c r="L174" s="10"/>
      <c r="M174" s="8"/>
      <c r="N174" s="8"/>
    </row>
    <row r="175" customFormat="false" ht="23.25" hidden="false" customHeight="true" outlineLevel="0" collapsed="false">
      <c r="A175" s="7" t="s">
        <v>671</v>
      </c>
      <c r="B175" s="7" t="s">
        <v>606</v>
      </c>
      <c r="C175" s="7" t="s">
        <v>672</v>
      </c>
      <c r="D175" s="7" t="s">
        <v>673</v>
      </c>
      <c r="E175" s="7" t="s">
        <v>670</v>
      </c>
      <c r="F175" s="7" t="s">
        <v>59</v>
      </c>
      <c r="G175" s="7"/>
      <c r="H175" s="7"/>
      <c r="I175" s="7" t="s">
        <v>81</v>
      </c>
      <c r="J175" s="8" t="s">
        <v>55</v>
      </c>
      <c r="K175" s="9" t="n">
        <v>0</v>
      </c>
      <c r="L175" s="10"/>
      <c r="M175" s="8"/>
      <c r="N175" s="8"/>
    </row>
    <row r="176" customFormat="false" ht="23.25" hidden="false" customHeight="true" outlineLevel="0" collapsed="false">
      <c r="A176" s="7" t="s">
        <v>674</v>
      </c>
      <c r="B176" s="7" t="s">
        <v>606</v>
      </c>
      <c r="C176" s="7" t="s">
        <v>672</v>
      </c>
      <c r="D176" s="7" t="s">
        <v>675</v>
      </c>
      <c r="E176" s="7" t="s">
        <v>670</v>
      </c>
      <c r="F176" s="7" t="s">
        <v>53</v>
      </c>
      <c r="G176" s="7"/>
      <c r="H176" s="7"/>
      <c r="I176" s="7" t="s">
        <v>99</v>
      </c>
      <c r="J176" s="8" t="s">
        <v>55</v>
      </c>
      <c r="K176" s="9" t="n">
        <v>0</v>
      </c>
      <c r="L176" s="10"/>
      <c r="M176" s="8"/>
      <c r="N176" s="8"/>
    </row>
    <row r="177" customFormat="false" ht="23.25" hidden="false" customHeight="true" outlineLevel="0" collapsed="false">
      <c r="A177" s="7" t="s">
        <v>676</v>
      </c>
      <c r="B177" s="7" t="s">
        <v>606</v>
      </c>
      <c r="C177" s="7" t="s">
        <v>672</v>
      </c>
      <c r="D177" s="7" t="s">
        <v>677</v>
      </c>
      <c r="E177" s="7" t="s">
        <v>678</v>
      </c>
      <c r="F177" s="7" t="s">
        <v>53</v>
      </c>
      <c r="G177" s="7"/>
      <c r="H177" s="7"/>
      <c r="I177" s="7" t="s">
        <v>99</v>
      </c>
      <c r="J177" s="8" t="s">
        <v>55</v>
      </c>
      <c r="K177" s="9" t="n">
        <v>0</v>
      </c>
      <c r="L177" s="10"/>
      <c r="M177" s="8"/>
      <c r="N177" s="8"/>
    </row>
    <row r="178" customFormat="false" ht="23.25" hidden="false" customHeight="true" outlineLevel="0" collapsed="false">
      <c r="A178" s="7" t="s">
        <v>679</v>
      </c>
      <c r="B178" s="7" t="s">
        <v>606</v>
      </c>
      <c r="C178" s="7" t="s">
        <v>672</v>
      </c>
      <c r="D178" s="7" t="s">
        <v>680</v>
      </c>
      <c r="E178" s="7" t="s">
        <v>681</v>
      </c>
      <c r="F178" s="7" t="s">
        <v>53</v>
      </c>
      <c r="G178" s="7"/>
      <c r="H178" s="7"/>
      <c r="I178" s="7" t="s">
        <v>99</v>
      </c>
      <c r="J178" s="8" t="s">
        <v>55</v>
      </c>
      <c r="K178" s="9" t="n">
        <v>0</v>
      </c>
      <c r="L178" s="10"/>
      <c r="M178" s="8"/>
      <c r="N178" s="8"/>
    </row>
    <row r="179" customFormat="false" ht="23.25" hidden="false" customHeight="true" outlineLevel="0" collapsed="false">
      <c r="A179" s="7" t="s">
        <v>682</v>
      </c>
      <c r="B179" s="7" t="s">
        <v>606</v>
      </c>
      <c r="C179" s="7" t="s">
        <v>672</v>
      </c>
      <c r="D179" s="7" t="s">
        <v>683</v>
      </c>
      <c r="E179" s="7" t="s">
        <v>681</v>
      </c>
      <c r="F179" s="7" t="s">
        <v>59</v>
      </c>
      <c r="G179" s="7"/>
      <c r="H179" s="7"/>
      <c r="I179" s="7" t="s">
        <v>81</v>
      </c>
      <c r="J179" s="8" t="s">
        <v>55</v>
      </c>
      <c r="K179" s="9" t="n">
        <v>0</v>
      </c>
      <c r="L179" s="10"/>
      <c r="M179" s="8"/>
      <c r="N179" s="8"/>
    </row>
    <row r="180" customFormat="false" ht="23.25" hidden="false" customHeight="true" outlineLevel="0" collapsed="false">
      <c r="A180" s="7" t="s">
        <v>684</v>
      </c>
      <c r="B180" s="7" t="s">
        <v>606</v>
      </c>
      <c r="C180" s="7" t="s">
        <v>672</v>
      </c>
      <c r="D180" s="7" t="s">
        <v>685</v>
      </c>
      <c r="E180" s="7" t="s">
        <v>681</v>
      </c>
      <c r="F180" s="7" t="s">
        <v>59</v>
      </c>
      <c r="G180" s="7"/>
      <c r="H180" s="7"/>
      <c r="I180" s="7" t="s">
        <v>81</v>
      </c>
      <c r="J180" s="8" t="s">
        <v>55</v>
      </c>
      <c r="K180" s="9" t="n">
        <v>0</v>
      </c>
      <c r="L180" s="10"/>
      <c r="M180" s="8"/>
      <c r="N180" s="8"/>
    </row>
    <row r="181" customFormat="false" ht="23.25" hidden="false" customHeight="true" outlineLevel="0" collapsed="false">
      <c r="A181" s="7" t="s">
        <v>686</v>
      </c>
      <c r="B181" s="7" t="s">
        <v>606</v>
      </c>
      <c r="C181" s="7" t="s">
        <v>346</v>
      </c>
      <c r="D181" s="7" t="s">
        <v>687</v>
      </c>
      <c r="E181" s="7" t="s">
        <v>681</v>
      </c>
      <c r="F181" s="7" t="s">
        <v>174</v>
      </c>
      <c r="G181" s="7" t="s">
        <v>688</v>
      </c>
      <c r="H181" s="7" t="s">
        <v>689</v>
      </c>
      <c r="I181" s="7" t="s">
        <v>690</v>
      </c>
      <c r="J181" s="8" t="s">
        <v>55</v>
      </c>
      <c r="K181" s="9" t="n">
        <v>0</v>
      </c>
      <c r="L181" s="10"/>
      <c r="M181" s="8"/>
      <c r="N181" s="8"/>
    </row>
    <row r="182" customFormat="false" ht="23.25" hidden="false" customHeight="true" outlineLevel="0" collapsed="false">
      <c r="A182" s="7" t="s">
        <v>691</v>
      </c>
      <c r="B182" s="7" t="s">
        <v>606</v>
      </c>
      <c r="C182" s="7" t="s">
        <v>672</v>
      </c>
      <c r="D182" s="7" t="s">
        <v>692</v>
      </c>
      <c r="E182" s="7" t="s">
        <v>681</v>
      </c>
      <c r="F182" s="7" t="s">
        <v>53</v>
      </c>
      <c r="G182" s="7"/>
      <c r="H182" s="7"/>
      <c r="I182" s="7" t="s">
        <v>99</v>
      </c>
      <c r="J182" s="8" t="s">
        <v>55</v>
      </c>
      <c r="K182" s="9" t="n">
        <v>0</v>
      </c>
      <c r="L182" s="10"/>
      <c r="M182" s="8"/>
      <c r="N182" s="8"/>
    </row>
    <row r="183" customFormat="false" ht="23.25" hidden="false" customHeight="true" outlineLevel="0" collapsed="false">
      <c r="A183" s="7" t="s">
        <v>693</v>
      </c>
      <c r="B183" s="7" t="s">
        <v>606</v>
      </c>
      <c r="C183" s="7" t="s">
        <v>694</v>
      </c>
      <c r="D183" s="7" t="s">
        <v>695</v>
      </c>
      <c r="E183" s="7" t="s">
        <v>696</v>
      </c>
      <c r="F183" s="7" t="s">
        <v>59</v>
      </c>
      <c r="G183" s="7"/>
      <c r="H183" s="7"/>
      <c r="I183" s="7" t="s">
        <v>81</v>
      </c>
      <c r="J183" s="8" t="s">
        <v>55</v>
      </c>
      <c r="K183" s="9" t="n">
        <v>0</v>
      </c>
      <c r="L183" s="10"/>
      <c r="M183" s="8"/>
      <c r="N183" s="8"/>
    </row>
    <row r="184" customFormat="false" ht="23.25" hidden="false" customHeight="true" outlineLevel="0" collapsed="false">
      <c r="A184" s="7" t="s">
        <v>697</v>
      </c>
      <c r="B184" s="7" t="s">
        <v>606</v>
      </c>
      <c r="C184" s="7" t="s">
        <v>694</v>
      </c>
      <c r="D184" s="7" t="s">
        <v>698</v>
      </c>
      <c r="E184" s="7" t="s">
        <v>699</v>
      </c>
      <c r="F184" s="7" t="s">
        <v>53</v>
      </c>
      <c r="G184" s="7"/>
      <c r="H184" s="7"/>
      <c r="I184" s="7" t="s">
        <v>99</v>
      </c>
      <c r="J184" s="8" t="s">
        <v>55</v>
      </c>
      <c r="K184" s="9" t="n">
        <v>0</v>
      </c>
      <c r="L184" s="10"/>
      <c r="M184" s="8"/>
      <c r="N184" s="8"/>
    </row>
    <row r="185" customFormat="false" ht="23.25" hidden="false" customHeight="true" outlineLevel="0" collapsed="false">
      <c r="A185" s="7" t="s">
        <v>700</v>
      </c>
      <c r="B185" s="7" t="s">
        <v>606</v>
      </c>
      <c r="C185" s="7" t="s">
        <v>694</v>
      </c>
      <c r="D185" s="7" t="s">
        <v>701</v>
      </c>
      <c r="E185" s="7" t="s">
        <v>699</v>
      </c>
      <c r="F185" s="7" t="s">
        <v>59</v>
      </c>
      <c r="G185" s="7"/>
      <c r="H185" s="7"/>
      <c r="I185" s="7" t="s">
        <v>81</v>
      </c>
      <c r="J185" s="8" t="s">
        <v>55</v>
      </c>
      <c r="K185" s="9" t="n">
        <v>0</v>
      </c>
      <c r="L185" s="10"/>
      <c r="M185" s="8"/>
      <c r="N185" s="8"/>
    </row>
    <row r="186" customFormat="false" ht="23.25" hidden="false" customHeight="true" outlineLevel="0" collapsed="false">
      <c r="A186" s="7" t="s">
        <v>702</v>
      </c>
      <c r="B186" s="7" t="s">
        <v>606</v>
      </c>
      <c r="C186" s="7" t="s">
        <v>290</v>
      </c>
      <c r="D186" s="7" t="s">
        <v>703</v>
      </c>
      <c r="E186" s="7" t="s">
        <v>699</v>
      </c>
      <c r="F186" s="7" t="s">
        <v>59</v>
      </c>
      <c r="G186" s="7"/>
      <c r="H186" s="7"/>
      <c r="I186" s="7" t="s">
        <v>81</v>
      </c>
      <c r="J186" s="8" t="s">
        <v>55</v>
      </c>
      <c r="K186" s="9" t="n">
        <v>0</v>
      </c>
      <c r="L186" s="10"/>
      <c r="M186" s="8"/>
      <c r="N186" s="8"/>
    </row>
    <row r="187" customFormat="false" ht="23.25" hidden="false" customHeight="true" outlineLevel="0" collapsed="false">
      <c r="A187" s="7" t="s">
        <v>704</v>
      </c>
      <c r="B187" s="7" t="s">
        <v>606</v>
      </c>
      <c r="C187" s="7" t="s">
        <v>705</v>
      </c>
      <c r="D187" s="7" t="s">
        <v>706</v>
      </c>
      <c r="E187" s="7" t="s">
        <v>699</v>
      </c>
      <c r="F187" s="7" t="s">
        <v>59</v>
      </c>
      <c r="G187" s="7"/>
      <c r="H187" s="7" t="s">
        <v>707</v>
      </c>
      <c r="I187" s="7" t="s">
        <v>81</v>
      </c>
      <c r="J187" s="8" t="s">
        <v>55</v>
      </c>
      <c r="K187" s="9" t="n">
        <v>0</v>
      </c>
      <c r="L187" s="10"/>
      <c r="M187" s="8"/>
      <c r="N187" s="8"/>
    </row>
    <row r="188" customFormat="false" ht="23.25" hidden="false" customHeight="true" outlineLevel="0" collapsed="false">
      <c r="A188" s="7" t="s">
        <v>708</v>
      </c>
      <c r="B188" s="7" t="s">
        <v>606</v>
      </c>
      <c r="C188" s="7" t="s">
        <v>709</v>
      </c>
      <c r="D188" s="7" t="s">
        <v>710</v>
      </c>
      <c r="E188" s="7" t="s">
        <v>711</v>
      </c>
      <c r="F188" s="7" t="s">
        <v>59</v>
      </c>
      <c r="G188" s="7"/>
      <c r="H188" s="7" t="s">
        <v>712</v>
      </c>
      <c r="I188" s="7" t="s">
        <v>713</v>
      </c>
      <c r="J188" s="8" t="s">
        <v>55</v>
      </c>
      <c r="K188" s="9" t="n">
        <v>0</v>
      </c>
      <c r="L188" s="10"/>
      <c r="M188" s="8"/>
      <c r="N188" s="8"/>
    </row>
    <row r="189" customFormat="false" ht="23.25" hidden="false" customHeight="true" outlineLevel="0" collapsed="false">
      <c r="A189" s="7" t="s">
        <v>714</v>
      </c>
      <c r="B189" s="7" t="s">
        <v>606</v>
      </c>
      <c r="C189" s="7" t="s">
        <v>715</v>
      </c>
      <c r="D189" s="7" t="s">
        <v>716</v>
      </c>
      <c r="E189" s="7" t="s">
        <v>711</v>
      </c>
      <c r="F189" s="7" t="s">
        <v>59</v>
      </c>
      <c r="G189" s="7"/>
      <c r="H189" s="7"/>
      <c r="I189" s="7" t="s">
        <v>81</v>
      </c>
      <c r="J189" s="8" t="s">
        <v>55</v>
      </c>
      <c r="K189" s="9" t="n">
        <v>0</v>
      </c>
      <c r="L189" s="10"/>
      <c r="M189" s="8"/>
      <c r="N189" s="8"/>
    </row>
    <row r="190" customFormat="false" ht="23.25" hidden="false" customHeight="true" outlineLevel="0" collapsed="false">
      <c r="A190" s="7" t="s">
        <v>717</v>
      </c>
      <c r="B190" s="7" t="s">
        <v>606</v>
      </c>
      <c r="C190" s="7" t="s">
        <v>715</v>
      </c>
      <c r="D190" s="7" t="s">
        <v>718</v>
      </c>
      <c r="E190" s="7" t="s">
        <v>719</v>
      </c>
      <c r="F190" s="7" t="s">
        <v>59</v>
      </c>
      <c r="G190" s="7"/>
      <c r="H190" s="7" t="s">
        <v>720</v>
      </c>
      <c r="I190" s="7" t="s">
        <v>81</v>
      </c>
      <c r="J190" s="8" t="s">
        <v>55</v>
      </c>
      <c r="K190" s="9" t="n">
        <v>0</v>
      </c>
      <c r="L190" s="10"/>
      <c r="M190" s="8"/>
      <c r="N190" s="8"/>
    </row>
    <row r="191" customFormat="false" ht="23.25" hidden="false" customHeight="true" outlineLevel="0" collapsed="false">
      <c r="A191" s="7" t="s">
        <v>721</v>
      </c>
      <c r="B191" s="7" t="s">
        <v>606</v>
      </c>
      <c r="C191" s="7" t="s">
        <v>715</v>
      </c>
      <c r="D191" s="7" t="s">
        <v>722</v>
      </c>
      <c r="E191" s="7" t="s">
        <v>719</v>
      </c>
      <c r="F191" s="7" t="s">
        <v>53</v>
      </c>
      <c r="G191" s="7"/>
      <c r="H191" s="7"/>
      <c r="I191" s="7" t="s">
        <v>99</v>
      </c>
      <c r="J191" s="8" t="s">
        <v>55</v>
      </c>
      <c r="K191" s="9" t="n">
        <v>0</v>
      </c>
      <c r="L191" s="10"/>
      <c r="M191" s="8"/>
      <c r="N191" s="8"/>
    </row>
    <row r="192" customFormat="false" ht="23.25" hidden="false" customHeight="true" outlineLevel="0" collapsed="false">
      <c r="A192" s="7" t="s">
        <v>723</v>
      </c>
      <c r="B192" s="7" t="s">
        <v>606</v>
      </c>
      <c r="C192" s="7" t="s">
        <v>715</v>
      </c>
      <c r="D192" s="7" t="s">
        <v>724</v>
      </c>
      <c r="E192" s="7" t="s">
        <v>719</v>
      </c>
      <c r="F192" s="7" t="s">
        <v>59</v>
      </c>
      <c r="G192" s="7"/>
      <c r="H192" s="7"/>
      <c r="I192" s="7" t="s">
        <v>81</v>
      </c>
      <c r="J192" s="8" t="s">
        <v>55</v>
      </c>
      <c r="K192" s="9" t="n">
        <v>0</v>
      </c>
      <c r="L192" s="10"/>
      <c r="M192" s="8"/>
      <c r="N192" s="8"/>
    </row>
    <row r="193" customFormat="false" ht="23.25" hidden="false" customHeight="true" outlineLevel="0" collapsed="false">
      <c r="A193" s="7" t="s">
        <v>725</v>
      </c>
      <c r="B193" s="7" t="s">
        <v>726</v>
      </c>
      <c r="C193" s="7" t="s">
        <v>727</v>
      </c>
      <c r="D193" s="7" t="s">
        <v>728</v>
      </c>
      <c r="E193" s="7" t="s">
        <v>719</v>
      </c>
      <c r="F193" s="7" t="s">
        <v>59</v>
      </c>
      <c r="G193" s="7"/>
      <c r="H193" s="7"/>
      <c r="I193" s="7" t="s">
        <v>81</v>
      </c>
      <c r="J193" s="8" t="s">
        <v>55</v>
      </c>
      <c r="K193" s="9" t="n">
        <v>0</v>
      </c>
      <c r="L193" s="10"/>
      <c r="M193" s="8"/>
      <c r="N193" s="8"/>
    </row>
    <row r="194" customFormat="false" ht="23.25" hidden="false" customHeight="true" outlineLevel="0" collapsed="false">
      <c r="A194" s="7" t="s">
        <v>729</v>
      </c>
      <c r="B194" s="7" t="s">
        <v>726</v>
      </c>
      <c r="C194" s="7" t="s">
        <v>730</v>
      </c>
      <c r="D194" s="7" t="s">
        <v>731</v>
      </c>
      <c r="E194" s="7" t="s">
        <v>732</v>
      </c>
      <c r="F194" s="7" t="s">
        <v>174</v>
      </c>
      <c r="G194" s="7" t="s">
        <v>733</v>
      </c>
      <c r="H194" s="7" t="s">
        <v>734</v>
      </c>
      <c r="I194" s="7" t="s">
        <v>735</v>
      </c>
      <c r="J194" s="8" t="s">
        <v>55</v>
      </c>
      <c r="K194" s="9" t="n">
        <v>0</v>
      </c>
      <c r="L194" s="10"/>
      <c r="M194" s="8"/>
      <c r="N194" s="8"/>
    </row>
    <row r="195" customFormat="false" ht="23.25" hidden="false" customHeight="true" outlineLevel="0" collapsed="false">
      <c r="A195" s="7" t="s">
        <v>736</v>
      </c>
      <c r="B195" s="7" t="s">
        <v>726</v>
      </c>
      <c r="C195" s="7" t="s">
        <v>737</v>
      </c>
      <c r="D195" s="7" t="s">
        <v>738</v>
      </c>
      <c r="E195" s="7" t="s">
        <v>739</v>
      </c>
      <c r="F195" s="7" t="s">
        <v>59</v>
      </c>
      <c r="G195" s="7"/>
      <c r="H195" s="7"/>
      <c r="I195" s="7" t="s">
        <v>81</v>
      </c>
      <c r="J195" s="8" t="s">
        <v>55</v>
      </c>
      <c r="K195" s="9" t="n">
        <v>0</v>
      </c>
      <c r="L195" s="10"/>
      <c r="M195" s="8"/>
      <c r="N195" s="8"/>
    </row>
    <row r="196" customFormat="false" ht="23.25" hidden="false" customHeight="true" outlineLevel="0" collapsed="false">
      <c r="A196" s="7" t="s">
        <v>740</v>
      </c>
      <c r="B196" s="7" t="s">
        <v>726</v>
      </c>
      <c r="C196" s="7" t="s">
        <v>741</v>
      </c>
      <c r="D196" s="7" t="s">
        <v>742</v>
      </c>
      <c r="E196" s="7" t="s">
        <v>739</v>
      </c>
      <c r="F196" s="7" t="s">
        <v>59</v>
      </c>
      <c r="G196" s="7"/>
      <c r="H196" s="7"/>
      <c r="I196" s="7" t="s">
        <v>743</v>
      </c>
      <c r="J196" s="8" t="s">
        <v>55</v>
      </c>
      <c r="K196" s="9" t="n">
        <v>0</v>
      </c>
      <c r="L196" s="10"/>
      <c r="M196" s="8"/>
      <c r="N196" s="8"/>
    </row>
    <row r="197" customFormat="false" ht="23.25" hidden="false" customHeight="true" outlineLevel="0" collapsed="false">
      <c r="A197" s="7" t="s">
        <v>744</v>
      </c>
      <c r="B197" s="7" t="s">
        <v>726</v>
      </c>
      <c r="C197" s="7" t="s">
        <v>741</v>
      </c>
      <c r="D197" s="7" t="s">
        <v>745</v>
      </c>
      <c r="E197" s="7" t="s">
        <v>739</v>
      </c>
      <c r="F197" s="7" t="s">
        <v>59</v>
      </c>
      <c r="G197" s="7"/>
      <c r="H197" s="7"/>
      <c r="I197" s="7" t="s">
        <v>81</v>
      </c>
      <c r="J197" s="8" t="s">
        <v>55</v>
      </c>
      <c r="K197" s="9" t="n">
        <v>0</v>
      </c>
      <c r="L197" s="10"/>
      <c r="M197" s="8"/>
      <c r="N197" s="8"/>
    </row>
    <row r="198" customFormat="false" ht="23.25" hidden="false" customHeight="true" outlineLevel="0" collapsed="false">
      <c r="A198" s="7" t="s">
        <v>746</v>
      </c>
      <c r="B198" s="7" t="s">
        <v>726</v>
      </c>
      <c r="C198" s="7" t="s">
        <v>741</v>
      </c>
      <c r="D198" s="7" t="s">
        <v>747</v>
      </c>
      <c r="E198" s="7" t="s">
        <v>739</v>
      </c>
      <c r="F198" s="7" t="s">
        <v>59</v>
      </c>
      <c r="G198" s="7"/>
      <c r="H198" s="7"/>
      <c r="I198" s="7" t="s">
        <v>81</v>
      </c>
      <c r="J198" s="8" t="s">
        <v>55</v>
      </c>
      <c r="K198" s="9" t="n">
        <v>0</v>
      </c>
      <c r="L198" s="10"/>
      <c r="M198" s="8"/>
      <c r="N198" s="8"/>
    </row>
    <row r="199" customFormat="false" ht="23.25" hidden="false" customHeight="true" outlineLevel="0" collapsed="false">
      <c r="A199" s="7" t="s">
        <v>748</v>
      </c>
      <c r="B199" s="7" t="s">
        <v>726</v>
      </c>
      <c r="C199" s="7" t="s">
        <v>741</v>
      </c>
      <c r="D199" s="7" t="s">
        <v>749</v>
      </c>
      <c r="E199" s="7" t="s">
        <v>750</v>
      </c>
      <c r="F199" s="7" t="s">
        <v>59</v>
      </c>
      <c r="G199" s="7"/>
      <c r="H199" s="7"/>
      <c r="I199" s="7" t="s">
        <v>81</v>
      </c>
      <c r="J199" s="8" t="s">
        <v>55</v>
      </c>
      <c r="K199" s="9" t="n">
        <v>0</v>
      </c>
      <c r="L199" s="10"/>
      <c r="M199" s="8"/>
      <c r="N199" s="8"/>
    </row>
    <row r="200" customFormat="false" ht="23.25" hidden="false" customHeight="true" outlineLevel="0" collapsed="false">
      <c r="A200" s="7" t="s">
        <v>751</v>
      </c>
      <c r="B200" s="7" t="s">
        <v>726</v>
      </c>
      <c r="C200" s="7" t="s">
        <v>741</v>
      </c>
      <c r="D200" s="7" t="s">
        <v>752</v>
      </c>
      <c r="E200" s="7" t="s">
        <v>753</v>
      </c>
      <c r="F200" s="7" t="s">
        <v>59</v>
      </c>
      <c r="G200" s="7"/>
      <c r="H200" s="7"/>
      <c r="I200" s="7" t="s">
        <v>81</v>
      </c>
      <c r="J200" s="8" t="s">
        <v>55</v>
      </c>
      <c r="K200" s="9" t="n">
        <v>0</v>
      </c>
      <c r="L200" s="10"/>
      <c r="M200" s="8"/>
      <c r="N200" s="8"/>
    </row>
    <row r="201" customFormat="false" ht="23.25" hidden="false" customHeight="true" outlineLevel="0" collapsed="false">
      <c r="A201" s="7" t="s">
        <v>754</v>
      </c>
      <c r="B201" s="7" t="s">
        <v>726</v>
      </c>
      <c r="C201" s="7" t="s">
        <v>741</v>
      </c>
      <c r="D201" s="7" t="s">
        <v>755</v>
      </c>
      <c r="E201" s="7" t="s">
        <v>753</v>
      </c>
      <c r="F201" s="7" t="s">
        <v>59</v>
      </c>
      <c r="G201" s="7"/>
      <c r="H201" s="7"/>
      <c r="I201" s="7" t="s">
        <v>81</v>
      </c>
      <c r="J201" s="8" t="s">
        <v>55</v>
      </c>
      <c r="K201" s="9" t="n">
        <v>0</v>
      </c>
      <c r="L201" s="10"/>
      <c r="M201" s="8"/>
      <c r="N201" s="8"/>
    </row>
    <row r="202" customFormat="false" ht="23.25" hidden="false" customHeight="true" outlineLevel="0" collapsed="false">
      <c r="A202" s="7" t="s">
        <v>756</v>
      </c>
      <c r="B202" s="7" t="s">
        <v>726</v>
      </c>
      <c r="C202" s="7" t="s">
        <v>757</v>
      </c>
      <c r="D202" s="7" t="s">
        <v>758</v>
      </c>
      <c r="E202" s="7" t="s">
        <v>753</v>
      </c>
      <c r="F202" s="7" t="s">
        <v>59</v>
      </c>
      <c r="G202" s="7"/>
      <c r="H202" s="7"/>
      <c r="I202" s="7" t="s">
        <v>81</v>
      </c>
      <c r="J202" s="8" t="s">
        <v>55</v>
      </c>
      <c r="K202" s="9" t="n">
        <v>0</v>
      </c>
      <c r="L202" s="10"/>
      <c r="M202" s="8"/>
      <c r="N202" s="8"/>
    </row>
    <row r="203" customFormat="false" ht="23.25" hidden="false" customHeight="true" outlineLevel="0" collapsed="false">
      <c r="A203" s="7" t="s">
        <v>759</v>
      </c>
      <c r="B203" s="7" t="s">
        <v>726</v>
      </c>
      <c r="C203" s="7" t="s">
        <v>760</v>
      </c>
      <c r="D203" s="7" t="s">
        <v>761</v>
      </c>
      <c r="E203" s="7" t="s">
        <v>753</v>
      </c>
      <c r="F203" s="7" t="s">
        <v>59</v>
      </c>
      <c r="G203" s="7"/>
      <c r="H203" s="7"/>
      <c r="I203" s="7" t="s">
        <v>762</v>
      </c>
      <c r="J203" s="8" t="s">
        <v>55</v>
      </c>
      <c r="K203" s="9" t="n">
        <v>0</v>
      </c>
      <c r="L203" s="10"/>
      <c r="M203" s="8"/>
      <c r="N203" s="8"/>
    </row>
    <row r="204" customFormat="false" ht="15" hidden="false" customHeight="true" outlineLevel="0" collapsed="false">
      <c r="A204" s="7" t="s">
        <v>763</v>
      </c>
      <c r="B204" s="7" t="s">
        <v>726</v>
      </c>
      <c r="C204" s="7" t="s">
        <v>760</v>
      </c>
      <c r="D204" s="7" t="s">
        <v>764</v>
      </c>
      <c r="E204" s="7" t="s">
        <v>753</v>
      </c>
      <c r="F204" s="7" t="s">
        <v>59</v>
      </c>
      <c r="G204" s="7"/>
      <c r="H204" s="7"/>
      <c r="I204" s="7" t="s">
        <v>762</v>
      </c>
      <c r="J204" s="8" t="s">
        <v>55</v>
      </c>
      <c r="K204" s="9" t="n">
        <v>0</v>
      </c>
      <c r="L204" s="10"/>
      <c r="M204" s="8"/>
      <c r="N204" s="8"/>
    </row>
    <row r="205" customFormat="false" ht="23.25" hidden="false" customHeight="true" outlineLevel="0" collapsed="false">
      <c r="A205" s="7" t="s">
        <v>765</v>
      </c>
      <c r="B205" s="7" t="s">
        <v>726</v>
      </c>
      <c r="C205" s="7" t="s">
        <v>766</v>
      </c>
      <c r="D205" s="7" t="s">
        <v>767</v>
      </c>
      <c r="E205" s="7" t="s">
        <v>753</v>
      </c>
      <c r="F205" s="7" t="s">
        <v>59</v>
      </c>
      <c r="G205" s="7"/>
      <c r="H205" s="7"/>
      <c r="I205" s="7" t="s">
        <v>81</v>
      </c>
      <c r="J205" s="8" t="s">
        <v>55</v>
      </c>
      <c r="K205" s="9" t="n">
        <v>0</v>
      </c>
      <c r="L205" s="10"/>
      <c r="M205" s="8"/>
      <c r="N205" s="8"/>
    </row>
    <row r="206" customFormat="false" ht="23.25" hidden="false" customHeight="true" outlineLevel="0" collapsed="false">
      <c r="A206" s="7" t="s">
        <v>768</v>
      </c>
      <c r="B206" s="7" t="s">
        <v>726</v>
      </c>
      <c r="C206" s="7" t="s">
        <v>766</v>
      </c>
      <c r="D206" s="7" t="s">
        <v>769</v>
      </c>
      <c r="E206" s="7" t="s">
        <v>753</v>
      </c>
      <c r="F206" s="7" t="s">
        <v>59</v>
      </c>
      <c r="G206" s="7"/>
      <c r="H206" s="7"/>
      <c r="I206" s="7" t="s">
        <v>81</v>
      </c>
      <c r="J206" s="8" t="s">
        <v>55</v>
      </c>
      <c r="K206" s="9" t="n">
        <v>0</v>
      </c>
      <c r="L206" s="10"/>
      <c r="M206" s="8"/>
      <c r="N206" s="8"/>
    </row>
    <row r="207" customFormat="false" ht="15" hidden="false" customHeight="true" outlineLevel="0" collapsed="false">
      <c r="A207" s="7" t="s">
        <v>770</v>
      </c>
      <c r="B207" s="7" t="s">
        <v>726</v>
      </c>
      <c r="C207" s="7" t="s">
        <v>766</v>
      </c>
      <c r="D207" s="7" t="s">
        <v>771</v>
      </c>
      <c r="E207" s="7" t="s">
        <v>772</v>
      </c>
      <c r="F207" s="7" t="s">
        <v>174</v>
      </c>
      <c r="G207" s="7" t="s">
        <v>773</v>
      </c>
      <c r="H207" s="7"/>
      <c r="I207" s="7" t="s">
        <v>774</v>
      </c>
      <c r="J207" s="8" t="s">
        <v>55</v>
      </c>
      <c r="K207" s="9" t="n">
        <v>0</v>
      </c>
      <c r="L207" s="10"/>
      <c r="M207" s="8"/>
      <c r="N207" s="8"/>
    </row>
    <row r="208" customFormat="false" ht="23.25" hidden="false" customHeight="true" outlineLevel="0" collapsed="false">
      <c r="A208" s="7" t="s">
        <v>775</v>
      </c>
      <c r="B208" s="7" t="s">
        <v>726</v>
      </c>
      <c r="C208" s="7" t="s">
        <v>766</v>
      </c>
      <c r="D208" s="7" t="s">
        <v>776</v>
      </c>
      <c r="E208" s="7" t="s">
        <v>777</v>
      </c>
      <c r="F208" s="7" t="s">
        <v>59</v>
      </c>
      <c r="G208" s="7"/>
      <c r="H208" s="7"/>
      <c r="I208" s="7" t="s">
        <v>81</v>
      </c>
      <c r="J208" s="8" t="s">
        <v>55</v>
      </c>
      <c r="K208" s="9" t="n">
        <v>0</v>
      </c>
      <c r="L208" s="10"/>
      <c r="M208" s="8"/>
      <c r="N208" s="8"/>
    </row>
    <row r="209" customFormat="false" ht="23.25" hidden="false" customHeight="true" outlineLevel="0" collapsed="false">
      <c r="A209" s="7" t="s">
        <v>778</v>
      </c>
      <c r="B209" s="7" t="s">
        <v>726</v>
      </c>
      <c r="C209" s="7" t="s">
        <v>779</v>
      </c>
      <c r="D209" s="7" t="s">
        <v>780</v>
      </c>
      <c r="E209" s="7" t="s">
        <v>777</v>
      </c>
      <c r="F209" s="7" t="s">
        <v>59</v>
      </c>
      <c r="G209" s="7"/>
      <c r="H209" s="7"/>
      <c r="I209" s="7" t="s">
        <v>81</v>
      </c>
      <c r="J209" s="8" t="s">
        <v>55</v>
      </c>
      <c r="K209" s="9" t="n">
        <v>0</v>
      </c>
      <c r="L209" s="10"/>
      <c r="M209" s="8"/>
      <c r="N209" s="8"/>
    </row>
    <row r="210" customFormat="false" ht="15" hidden="false" customHeight="true" outlineLevel="0" collapsed="false">
      <c r="A210" s="7" t="s">
        <v>781</v>
      </c>
      <c r="B210" s="7" t="s">
        <v>726</v>
      </c>
      <c r="C210" s="7" t="s">
        <v>782</v>
      </c>
      <c r="D210" s="7" t="s">
        <v>783</v>
      </c>
      <c r="E210" s="7" t="s">
        <v>777</v>
      </c>
      <c r="F210" s="7" t="s">
        <v>59</v>
      </c>
      <c r="G210" s="7"/>
      <c r="H210" s="7"/>
      <c r="I210" s="7" t="s">
        <v>784</v>
      </c>
      <c r="J210" s="8" t="s">
        <v>55</v>
      </c>
      <c r="K210" s="9" t="n">
        <v>0</v>
      </c>
      <c r="L210" s="10"/>
      <c r="M210" s="8"/>
      <c r="N210" s="8"/>
    </row>
    <row r="211" customFormat="false" ht="23.25" hidden="false" customHeight="true" outlineLevel="0" collapsed="false">
      <c r="A211" s="7" t="s">
        <v>785</v>
      </c>
      <c r="B211" s="7" t="s">
        <v>726</v>
      </c>
      <c r="C211" s="7" t="s">
        <v>782</v>
      </c>
      <c r="D211" s="7" t="s">
        <v>786</v>
      </c>
      <c r="E211" s="7" t="s">
        <v>777</v>
      </c>
      <c r="F211" s="7" t="s">
        <v>53</v>
      </c>
      <c r="G211" s="7"/>
      <c r="H211" s="7"/>
      <c r="I211" s="7" t="s">
        <v>99</v>
      </c>
      <c r="J211" s="8" t="s">
        <v>55</v>
      </c>
      <c r="K211" s="9" t="n">
        <v>0</v>
      </c>
      <c r="L211" s="10"/>
      <c r="M211" s="8"/>
      <c r="N211" s="8"/>
    </row>
    <row r="212" customFormat="false" ht="23.25" hidden="false" customHeight="true" outlineLevel="0" collapsed="false">
      <c r="A212" s="7" t="s">
        <v>787</v>
      </c>
      <c r="B212" s="7" t="s">
        <v>726</v>
      </c>
      <c r="C212" s="7" t="s">
        <v>782</v>
      </c>
      <c r="D212" s="7" t="s">
        <v>788</v>
      </c>
      <c r="E212" s="7" t="s">
        <v>789</v>
      </c>
      <c r="F212" s="7" t="s">
        <v>59</v>
      </c>
      <c r="G212" s="7"/>
      <c r="H212" s="7"/>
      <c r="I212" s="7" t="s">
        <v>81</v>
      </c>
      <c r="J212" s="8" t="s">
        <v>55</v>
      </c>
      <c r="K212" s="9" t="n">
        <v>0</v>
      </c>
      <c r="L212" s="10"/>
      <c r="M212" s="8"/>
      <c r="N212" s="8"/>
    </row>
    <row r="213" customFormat="false" ht="23.25" hidden="false" customHeight="true" outlineLevel="0" collapsed="false">
      <c r="A213" s="7" t="s">
        <v>790</v>
      </c>
      <c r="B213" s="7" t="s">
        <v>726</v>
      </c>
      <c r="C213" s="7" t="s">
        <v>782</v>
      </c>
      <c r="D213" s="7" t="s">
        <v>791</v>
      </c>
      <c r="E213" s="7" t="s">
        <v>792</v>
      </c>
      <c r="F213" s="7" t="s">
        <v>53</v>
      </c>
      <c r="G213" s="7"/>
      <c r="H213" s="7"/>
      <c r="I213" s="7" t="s">
        <v>99</v>
      </c>
      <c r="J213" s="8" t="s">
        <v>55</v>
      </c>
      <c r="K213" s="9" t="n">
        <v>0</v>
      </c>
      <c r="L213" s="10"/>
      <c r="M213" s="8"/>
      <c r="N213" s="8"/>
    </row>
    <row r="214" customFormat="false" ht="15" hidden="false" customHeight="true" outlineLevel="0" collapsed="false">
      <c r="A214" s="7" t="s">
        <v>793</v>
      </c>
      <c r="B214" s="7" t="s">
        <v>726</v>
      </c>
      <c r="C214" s="7" t="s">
        <v>782</v>
      </c>
      <c r="D214" s="7" t="s">
        <v>794</v>
      </c>
      <c r="E214" s="7" t="s">
        <v>792</v>
      </c>
      <c r="F214" s="7" t="s">
        <v>59</v>
      </c>
      <c r="G214" s="7"/>
      <c r="H214" s="7" t="s">
        <v>795</v>
      </c>
      <c r="I214" s="7" t="s">
        <v>784</v>
      </c>
      <c r="J214" s="8" t="s">
        <v>55</v>
      </c>
      <c r="K214" s="9" t="n">
        <v>0</v>
      </c>
      <c r="L214" s="10"/>
      <c r="M214" s="8"/>
      <c r="N214" s="8"/>
    </row>
    <row r="215" customFormat="false" ht="23.25" hidden="false" customHeight="true" outlineLevel="0" collapsed="false">
      <c r="A215" s="7" t="s">
        <v>796</v>
      </c>
      <c r="B215" s="7" t="s">
        <v>726</v>
      </c>
      <c r="C215" s="7" t="s">
        <v>797</v>
      </c>
      <c r="D215" s="7" t="s">
        <v>798</v>
      </c>
      <c r="E215" s="7" t="s">
        <v>792</v>
      </c>
      <c r="F215" s="7" t="s">
        <v>59</v>
      </c>
      <c r="G215" s="7"/>
      <c r="H215" s="7"/>
      <c r="I215" s="7" t="s">
        <v>81</v>
      </c>
      <c r="J215" s="8" t="s">
        <v>55</v>
      </c>
      <c r="K215" s="9" t="n">
        <v>0</v>
      </c>
      <c r="L215" s="10"/>
      <c r="M215" s="8"/>
      <c r="N215" s="8"/>
    </row>
    <row r="216" customFormat="false" ht="23.25" hidden="false" customHeight="true" outlineLevel="0" collapsed="false">
      <c r="A216" s="7" t="s">
        <v>799</v>
      </c>
      <c r="B216" s="7" t="s">
        <v>726</v>
      </c>
      <c r="C216" s="7" t="s">
        <v>797</v>
      </c>
      <c r="D216" s="7" t="s">
        <v>800</v>
      </c>
      <c r="E216" s="7" t="s">
        <v>792</v>
      </c>
      <c r="F216" s="7" t="s">
        <v>53</v>
      </c>
      <c r="G216" s="7"/>
      <c r="H216" s="7"/>
      <c r="I216" s="7" t="s">
        <v>99</v>
      </c>
      <c r="J216" s="8" t="s">
        <v>55</v>
      </c>
      <c r="K216" s="9" t="n">
        <v>0</v>
      </c>
      <c r="L216" s="10"/>
      <c r="M216" s="8"/>
      <c r="N216" s="8"/>
    </row>
    <row r="217" customFormat="false" ht="23.25" hidden="false" customHeight="true" outlineLevel="0" collapsed="false">
      <c r="A217" s="7" t="s">
        <v>801</v>
      </c>
      <c r="B217" s="7" t="s">
        <v>726</v>
      </c>
      <c r="C217" s="7" t="s">
        <v>802</v>
      </c>
      <c r="D217" s="7" t="s">
        <v>803</v>
      </c>
      <c r="E217" s="7" t="s">
        <v>792</v>
      </c>
      <c r="F217" s="7" t="s">
        <v>59</v>
      </c>
      <c r="G217" s="7"/>
      <c r="H217" s="7"/>
      <c r="I217" s="7" t="s">
        <v>81</v>
      </c>
      <c r="J217" s="8" t="s">
        <v>55</v>
      </c>
      <c r="K217" s="9" t="n">
        <v>0</v>
      </c>
      <c r="L217" s="10"/>
      <c r="M217" s="8"/>
      <c r="N217" s="8"/>
    </row>
    <row r="218" customFormat="false" ht="23.25" hidden="false" customHeight="true" outlineLevel="0" collapsed="false">
      <c r="A218" s="7" t="s">
        <v>804</v>
      </c>
      <c r="B218" s="7" t="s">
        <v>726</v>
      </c>
      <c r="C218" s="7" t="s">
        <v>805</v>
      </c>
      <c r="D218" s="7" t="s">
        <v>806</v>
      </c>
      <c r="E218" s="7" t="s">
        <v>807</v>
      </c>
      <c r="F218" s="7" t="s">
        <v>59</v>
      </c>
      <c r="G218" s="7"/>
      <c r="H218" s="7"/>
      <c r="I218" s="7" t="s">
        <v>81</v>
      </c>
      <c r="J218" s="8" t="s">
        <v>55</v>
      </c>
      <c r="K218" s="9" t="n">
        <v>0</v>
      </c>
      <c r="L218" s="10"/>
      <c r="M218" s="8"/>
      <c r="N218" s="8"/>
    </row>
    <row r="219" customFormat="false" ht="15" hidden="false" customHeight="true" outlineLevel="0" collapsed="false">
      <c r="A219" s="7" t="s">
        <v>808</v>
      </c>
      <c r="B219" s="7" t="s">
        <v>726</v>
      </c>
      <c r="C219" s="7" t="s">
        <v>809</v>
      </c>
      <c r="D219" s="7" t="s">
        <v>810</v>
      </c>
      <c r="E219" s="7" t="s">
        <v>807</v>
      </c>
      <c r="F219" s="7" t="s">
        <v>59</v>
      </c>
      <c r="G219" s="7"/>
      <c r="H219" s="7" t="s">
        <v>811</v>
      </c>
      <c r="I219" s="7" t="s">
        <v>812</v>
      </c>
      <c r="J219" s="8" t="s">
        <v>55</v>
      </c>
      <c r="K219" s="9" t="n">
        <v>0</v>
      </c>
      <c r="L219" s="10"/>
      <c r="M219" s="8"/>
      <c r="N219" s="8"/>
    </row>
    <row r="220" customFormat="false" ht="23.25" hidden="false" customHeight="true" outlineLevel="0" collapsed="false">
      <c r="A220" s="7" t="s">
        <v>813</v>
      </c>
      <c r="B220" s="7" t="s">
        <v>814</v>
      </c>
      <c r="C220" s="7" t="s">
        <v>815</v>
      </c>
      <c r="D220" s="7" t="s">
        <v>816</v>
      </c>
      <c r="E220" s="7" t="s">
        <v>817</v>
      </c>
      <c r="F220" s="7" t="s">
        <v>59</v>
      </c>
      <c r="G220" s="7"/>
      <c r="H220" s="7" t="s">
        <v>818</v>
      </c>
      <c r="I220" s="7" t="s">
        <v>81</v>
      </c>
      <c r="J220" s="8" t="s">
        <v>55</v>
      </c>
      <c r="K220" s="9" t="n">
        <v>0</v>
      </c>
      <c r="L220" s="10"/>
      <c r="M220" s="8"/>
      <c r="N220" s="8"/>
    </row>
    <row r="221" customFormat="false" ht="23.25" hidden="false" customHeight="true" outlineLevel="0" collapsed="false">
      <c r="A221" s="7" t="s">
        <v>819</v>
      </c>
      <c r="B221" s="7" t="s">
        <v>814</v>
      </c>
      <c r="C221" s="7" t="s">
        <v>820</v>
      </c>
      <c r="D221" s="7" t="s">
        <v>821</v>
      </c>
      <c r="E221" s="7" t="s">
        <v>817</v>
      </c>
      <c r="F221" s="7" t="s">
        <v>59</v>
      </c>
      <c r="G221" s="7"/>
      <c r="H221" s="7" t="s">
        <v>822</v>
      </c>
      <c r="I221" s="7" t="s">
        <v>823</v>
      </c>
      <c r="J221" s="8" t="s">
        <v>55</v>
      </c>
      <c r="K221" s="9" t="n">
        <v>0</v>
      </c>
      <c r="L221" s="10"/>
      <c r="M221" s="8"/>
      <c r="N221" s="8"/>
    </row>
    <row r="222" customFormat="false" ht="23.25" hidden="false" customHeight="true" outlineLevel="0" collapsed="false">
      <c r="A222" s="7" t="s">
        <v>824</v>
      </c>
      <c r="B222" s="7" t="s">
        <v>814</v>
      </c>
      <c r="C222" s="7" t="s">
        <v>825</v>
      </c>
      <c r="D222" s="7" t="s">
        <v>826</v>
      </c>
      <c r="E222" s="7" t="s">
        <v>817</v>
      </c>
      <c r="F222" s="7" t="s">
        <v>59</v>
      </c>
      <c r="G222" s="7"/>
      <c r="H222" s="7"/>
      <c r="I222" s="7" t="s">
        <v>81</v>
      </c>
      <c r="J222" s="8" t="s">
        <v>55</v>
      </c>
      <c r="K222" s="9" t="n">
        <v>0</v>
      </c>
      <c r="L222" s="10"/>
      <c r="M222" s="8"/>
      <c r="N222" s="8"/>
    </row>
    <row r="223" customFormat="false" ht="23.25" hidden="false" customHeight="true" outlineLevel="0" collapsed="false">
      <c r="A223" s="7" t="s">
        <v>827</v>
      </c>
      <c r="B223" s="7" t="s">
        <v>814</v>
      </c>
      <c r="C223" s="7" t="s">
        <v>828</v>
      </c>
      <c r="D223" s="7" t="s">
        <v>829</v>
      </c>
      <c r="E223" s="7" t="s">
        <v>817</v>
      </c>
      <c r="F223" s="7" t="s">
        <v>59</v>
      </c>
      <c r="G223" s="7"/>
      <c r="H223" s="7"/>
      <c r="I223" s="7" t="s">
        <v>81</v>
      </c>
      <c r="J223" s="8" t="s">
        <v>55</v>
      </c>
      <c r="K223" s="9" t="n">
        <v>0</v>
      </c>
      <c r="L223" s="10"/>
      <c r="M223" s="8"/>
      <c r="N223" s="8"/>
    </row>
    <row r="224" customFormat="false" ht="15" hidden="false" customHeight="true" outlineLevel="0" collapsed="false">
      <c r="A224" s="7" t="s">
        <v>830</v>
      </c>
      <c r="B224" s="7" t="s">
        <v>814</v>
      </c>
      <c r="C224" s="7" t="s">
        <v>831</v>
      </c>
      <c r="D224" s="7" t="s">
        <v>832</v>
      </c>
      <c r="E224" s="7" t="s">
        <v>833</v>
      </c>
      <c r="F224" s="7" t="s">
        <v>59</v>
      </c>
      <c r="G224" s="7"/>
      <c r="H224" s="7" t="s">
        <v>834</v>
      </c>
      <c r="I224" s="7" t="s">
        <v>835</v>
      </c>
      <c r="J224" s="8" t="s">
        <v>55</v>
      </c>
      <c r="K224" s="9" t="n">
        <v>0</v>
      </c>
      <c r="L224" s="10"/>
      <c r="M224" s="8"/>
      <c r="N224" s="8"/>
    </row>
    <row r="225" customFormat="false" ht="23.25" hidden="false" customHeight="true" outlineLevel="0" collapsed="false">
      <c r="A225" s="7" t="s">
        <v>836</v>
      </c>
      <c r="B225" s="7" t="s">
        <v>814</v>
      </c>
      <c r="C225" s="7" t="s">
        <v>837</v>
      </c>
      <c r="D225" s="7" t="s">
        <v>838</v>
      </c>
      <c r="E225" s="7" t="s">
        <v>833</v>
      </c>
      <c r="F225" s="7" t="s">
        <v>59</v>
      </c>
      <c r="G225" s="7"/>
      <c r="H225" s="7" t="s">
        <v>839</v>
      </c>
      <c r="I225" s="7" t="s">
        <v>840</v>
      </c>
      <c r="J225" s="8" t="s">
        <v>55</v>
      </c>
      <c r="K225" s="9" t="n">
        <v>0</v>
      </c>
      <c r="L225" s="10"/>
      <c r="M225" s="8"/>
      <c r="N225" s="8"/>
    </row>
    <row r="226" customFormat="false" ht="23.25" hidden="false" customHeight="true" outlineLevel="0" collapsed="false">
      <c r="A226" s="7" t="s">
        <v>841</v>
      </c>
      <c r="B226" s="7" t="s">
        <v>814</v>
      </c>
      <c r="C226" s="7" t="s">
        <v>842</v>
      </c>
      <c r="D226" s="7" t="s">
        <v>843</v>
      </c>
      <c r="E226" s="7" t="s">
        <v>833</v>
      </c>
      <c r="F226" s="7" t="s">
        <v>59</v>
      </c>
      <c r="G226" s="7"/>
      <c r="H226" s="7"/>
      <c r="I226" s="7" t="s">
        <v>81</v>
      </c>
      <c r="J226" s="8" t="s">
        <v>55</v>
      </c>
      <c r="K226" s="9" t="n">
        <v>0</v>
      </c>
      <c r="L226" s="10"/>
      <c r="M226" s="8"/>
      <c r="N226" s="8"/>
    </row>
    <row r="227" customFormat="false" ht="23.25" hidden="false" customHeight="true" outlineLevel="0" collapsed="false">
      <c r="A227" s="7" t="s">
        <v>844</v>
      </c>
      <c r="B227" s="7" t="s">
        <v>814</v>
      </c>
      <c r="C227" s="7" t="s">
        <v>845</v>
      </c>
      <c r="D227" s="7" t="s">
        <v>846</v>
      </c>
      <c r="E227" s="7" t="s">
        <v>847</v>
      </c>
      <c r="F227" s="7" t="s">
        <v>59</v>
      </c>
      <c r="G227" s="7"/>
      <c r="H227" s="7"/>
      <c r="I227" s="7" t="s">
        <v>81</v>
      </c>
      <c r="J227" s="8" t="s">
        <v>55</v>
      </c>
      <c r="K227" s="9" t="n">
        <v>0</v>
      </c>
      <c r="L227" s="10"/>
      <c r="M227" s="8"/>
      <c r="N227" s="8"/>
    </row>
    <row r="228" customFormat="false" ht="15" hidden="false" customHeight="true" outlineLevel="0" collapsed="false">
      <c r="A228" s="7" t="s">
        <v>848</v>
      </c>
      <c r="B228" s="7" t="s">
        <v>814</v>
      </c>
      <c r="C228" s="7" t="s">
        <v>849</v>
      </c>
      <c r="D228" s="7" t="s">
        <v>850</v>
      </c>
      <c r="E228" s="7" t="s">
        <v>851</v>
      </c>
      <c r="F228" s="7" t="s">
        <v>59</v>
      </c>
      <c r="G228" s="7"/>
      <c r="H228" s="7" t="s">
        <v>852</v>
      </c>
      <c r="I228" s="7" t="s">
        <v>853</v>
      </c>
      <c r="J228" s="8" t="s">
        <v>55</v>
      </c>
      <c r="K228" s="9" t="n">
        <v>0</v>
      </c>
      <c r="L228" s="10"/>
      <c r="M228" s="8"/>
      <c r="N228" s="8"/>
    </row>
    <row r="229" customFormat="false" ht="23.25" hidden="false" customHeight="true" outlineLevel="0" collapsed="false">
      <c r="A229" s="7" t="s">
        <v>854</v>
      </c>
      <c r="B229" s="7" t="s">
        <v>814</v>
      </c>
      <c r="C229" s="7" t="s">
        <v>855</v>
      </c>
      <c r="D229" s="7" t="s">
        <v>856</v>
      </c>
      <c r="E229" s="7" t="s">
        <v>857</v>
      </c>
      <c r="F229" s="7" t="s">
        <v>59</v>
      </c>
      <c r="G229" s="7"/>
      <c r="H229" s="7"/>
      <c r="I229" s="7" t="s">
        <v>81</v>
      </c>
      <c r="J229" s="8" t="s">
        <v>55</v>
      </c>
      <c r="K229" s="9" t="n">
        <v>0</v>
      </c>
      <c r="L229" s="10"/>
      <c r="M229" s="8"/>
      <c r="N229" s="8"/>
    </row>
    <row r="230" customFormat="false" ht="23.25" hidden="false" customHeight="true" outlineLevel="0" collapsed="false">
      <c r="A230" s="7" t="s">
        <v>858</v>
      </c>
      <c r="B230" s="7" t="s">
        <v>814</v>
      </c>
      <c r="C230" s="7" t="s">
        <v>812</v>
      </c>
      <c r="D230" s="7" t="s">
        <v>859</v>
      </c>
      <c r="E230" s="7" t="s">
        <v>860</v>
      </c>
      <c r="F230" s="7" t="s">
        <v>59</v>
      </c>
      <c r="G230" s="7"/>
      <c r="H230" s="7"/>
      <c r="I230" s="7" t="s">
        <v>812</v>
      </c>
      <c r="J230" s="8" t="s">
        <v>55</v>
      </c>
      <c r="K230" s="9" t="n">
        <v>0</v>
      </c>
      <c r="L230" s="10"/>
      <c r="M230" s="8"/>
      <c r="N230" s="8"/>
    </row>
    <row r="231" customFormat="false" ht="23.25" hidden="false" customHeight="true" outlineLevel="0" collapsed="false">
      <c r="A231" s="7" t="s">
        <v>861</v>
      </c>
      <c r="B231" s="7" t="s">
        <v>814</v>
      </c>
      <c r="C231" s="7" t="s">
        <v>812</v>
      </c>
      <c r="D231" s="7" t="s">
        <v>862</v>
      </c>
      <c r="E231" s="7" t="s">
        <v>860</v>
      </c>
      <c r="F231" s="7" t="s">
        <v>53</v>
      </c>
      <c r="G231" s="7"/>
      <c r="H231" s="7"/>
      <c r="I231" s="7" t="s">
        <v>99</v>
      </c>
      <c r="J231" s="8" t="s">
        <v>55</v>
      </c>
      <c r="K231" s="9" t="n">
        <v>0</v>
      </c>
      <c r="L231" s="10"/>
      <c r="M231" s="8"/>
      <c r="N231" s="8"/>
    </row>
    <row r="232" customFormat="false" ht="23.25" hidden="false" customHeight="true" outlineLevel="0" collapsed="false">
      <c r="A232" s="7" t="s">
        <v>863</v>
      </c>
      <c r="B232" s="7" t="s">
        <v>814</v>
      </c>
      <c r="C232" s="7" t="s">
        <v>864</v>
      </c>
      <c r="D232" s="7" t="s">
        <v>865</v>
      </c>
      <c r="E232" s="7" t="s">
        <v>860</v>
      </c>
      <c r="F232" s="7" t="s">
        <v>59</v>
      </c>
      <c r="G232" s="7"/>
      <c r="H232" s="7" t="s">
        <v>866</v>
      </c>
      <c r="I232" s="7" t="s">
        <v>81</v>
      </c>
      <c r="J232" s="8" t="s">
        <v>55</v>
      </c>
      <c r="K232" s="9" t="n">
        <v>0</v>
      </c>
      <c r="L232" s="10"/>
      <c r="M232" s="8"/>
      <c r="N232" s="8"/>
    </row>
    <row r="233" customFormat="false" ht="23.25" hidden="false" customHeight="true" outlineLevel="0" collapsed="false">
      <c r="A233" s="7" t="s">
        <v>867</v>
      </c>
      <c r="B233" s="7" t="s">
        <v>814</v>
      </c>
      <c r="C233" s="7" t="s">
        <v>868</v>
      </c>
      <c r="D233" s="7" t="s">
        <v>869</v>
      </c>
      <c r="E233" s="7" t="s">
        <v>870</v>
      </c>
      <c r="F233" s="7" t="s">
        <v>59</v>
      </c>
      <c r="G233" s="7"/>
      <c r="H233" s="7" t="s">
        <v>871</v>
      </c>
      <c r="I233" s="7" t="s">
        <v>81</v>
      </c>
      <c r="J233" s="8" t="s">
        <v>55</v>
      </c>
      <c r="K233" s="9" t="n">
        <v>0</v>
      </c>
      <c r="L233" s="10"/>
      <c r="M233" s="8"/>
      <c r="N233" s="8"/>
    </row>
    <row r="234" customFormat="false" ht="23.25" hidden="false" customHeight="true" outlineLevel="0" collapsed="false">
      <c r="A234" s="7" t="s">
        <v>872</v>
      </c>
      <c r="B234" s="7" t="s">
        <v>814</v>
      </c>
      <c r="C234" s="7" t="s">
        <v>849</v>
      </c>
      <c r="D234" s="7" t="s">
        <v>873</v>
      </c>
      <c r="E234" s="7" t="s">
        <v>870</v>
      </c>
      <c r="F234" s="7" t="s">
        <v>59</v>
      </c>
      <c r="G234" s="7"/>
      <c r="H234" s="7"/>
      <c r="I234" s="7" t="s">
        <v>81</v>
      </c>
      <c r="J234" s="8" t="s">
        <v>55</v>
      </c>
      <c r="K234" s="9" t="n">
        <v>0</v>
      </c>
      <c r="L234" s="10"/>
      <c r="M234" s="8"/>
      <c r="N234" s="8"/>
    </row>
    <row r="235" customFormat="false" ht="23.25" hidden="false" customHeight="true" outlineLevel="0" collapsed="false">
      <c r="A235" s="7" t="s">
        <v>874</v>
      </c>
      <c r="B235" s="7" t="s">
        <v>814</v>
      </c>
      <c r="C235" s="7" t="s">
        <v>875</v>
      </c>
      <c r="D235" s="7" t="s">
        <v>876</v>
      </c>
      <c r="E235" s="7" t="s">
        <v>870</v>
      </c>
      <c r="F235" s="7" t="s">
        <v>59</v>
      </c>
      <c r="G235" s="7"/>
      <c r="H235" s="7"/>
      <c r="I235" s="7" t="s">
        <v>81</v>
      </c>
      <c r="J235" s="8" t="s">
        <v>55</v>
      </c>
      <c r="K235" s="9" t="n">
        <v>0</v>
      </c>
      <c r="L235" s="10"/>
      <c r="M235" s="8"/>
      <c r="N235" s="8"/>
    </row>
    <row r="236" customFormat="false" ht="23.25" hidden="false" customHeight="true" outlineLevel="0" collapsed="false">
      <c r="A236" s="7" t="s">
        <v>877</v>
      </c>
      <c r="B236" s="7" t="s">
        <v>878</v>
      </c>
      <c r="C236" s="7" t="s">
        <v>879</v>
      </c>
      <c r="D236" s="7" t="s">
        <v>880</v>
      </c>
      <c r="E236" s="7" t="s">
        <v>881</v>
      </c>
      <c r="F236" s="7" t="s">
        <v>174</v>
      </c>
      <c r="G236" s="7" t="s">
        <v>882</v>
      </c>
      <c r="H236" s="7" t="s">
        <v>883</v>
      </c>
      <c r="I236" s="7" t="s">
        <v>884</v>
      </c>
      <c r="J236" s="8" t="s">
        <v>55</v>
      </c>
      <c r="K236" s="9" t="n">
        <v>0</v>
      </c>
      <c r="L236" s="10"/>
      <c r="M236" s="8"/>
      <c r="N236" s="8"/>
    </row>
    <row r="237" customFormat="false" ht="23.25" hidden="false" customHeight="true" outlineLevel="0" collapsed="false">
      <c r="A237" s="7" t="s">
        <v>885</v>
      </c>
      <c r="B237" s="7" t="s">
        <v>878</v>
      </c>
      <c r="C237" s="7" t="s">
        <v>886</v>
      </c>
      <c r="D237" s="7" t="s">
        <v>887</v>
      </c>
      <c r="E237" s="7" t="s">
        <v>881</v>
      </c>
      <c r="F237" s="7" t="s">
        <v>59</v>
      </c>
      <c r="G237" s="7"/>
      <c r="H237" s="7"/>
      <c r="I237" s="7" t="s">
        <v>81</v>
      </c>
      <c r="J237" s="8" t="s">
        <v>55</v>
      </c>
      <c r="K237" s="9" t="n">
        <v>0</v>
      </c>
      <c r="L237" s="10"/>
      <c r="M237" s="8"/>
      <c r="N237" s="8"/>
    </row>
    <row r="238" customFormat="false" ht="23.25" hidden="false" customHeight="true" outlineLevel="0" collapsed="false">
      <c r="A238" s="7" t="s">
        <v>888</v>
      </c>
      <c r="B238" s="7" t="s">
        <v>878</v>
      </c>
      <c r="C238" s="7" t="s">
        <v>889</v>
      </c>
      <c r="D238" s="7" t="s">
        <v>890</v>
      </c>
      <c r="E238" s="7" t="s">
        <v>881</v>
      </c>
      <c r="F238" s="7" t="s">
        <v>59</v>
      </c>
      <c r="G238" s="7"/>
      <c r="H238" s="7"/>
      <c r="I238" s="7" t="s">
        <v>81</v>
      </c>
      <c r="J238" s="8" t="s">
        <v>55</v>
      </c>
      <c r="K238" s="9" t="n">
        <v>0</v>
      </c>
      <c r="L238" s="10"/>
      <c r="M238" s="8"/>
      <c r="N238" s="8"/>
    </row>
    <row r="239" customFormat="false" ht="23.25" hidden="false" customHeight="true" outlineLevel="0" collapsed="false">
      <c r="A239" s="7" t="s">
        <v>891</v>
      </c>
      <c r="B239" s="7" t="s">
        <v>878</v>
      </c>
      <c r="C239" s="7" t="s">
        <v>892</v>
      </c>
      <c r="D239" s="7" t="s">
        <v>893</v>
      </c>
      <c r="E239" s="7" t="s">
        <v>881</v>
      </c>
      <c r="F239" s="7" t="s">
        <v>59</v>
      </c>
      <c r="G239" s="7"/>
      <c r="H239" s="7"/>
      <c r="I239" s="7" t="s">
        <v>81</v>
      </c>
      <c r="J239" s="8" t="s">
        <v>55</v>
      </c>
      <c r="K239" s="9" t="n">
        <v>0</v>
      </c>
      <c r="L239" s="10"/>
      <c r="M239" s="8"/>
      <c r="N239" s="8"/>
    </row>
    <row r="240" customFormat="false" ht="23.25" hidden="false" customHeight="true" outlineLevel="0" collapsed="false">
      <c r="A240" s="7" t="s">
        <v>894</v>
      </c>
      <c r="B240" s="7" t="s">
        <v>878</v>
      </c>
      <c r="C240" s="7" t="s">
        <v>895</v>
      </c>
      <c r="D240" s="7" t="s">
        <v>896</v>
      </c>
      <c r="E240" s="7" t="s">
        <v>897</v>
      </c>
      <c r="F240" s="7" t="s">
        <v>59</v>
      </c>
      <c r="G240" s="7"/>
      <c r="H240" s="7"/>
      <c r="I240" s="7" t="s">
        <v>81</v>
      </c>
      <c r="J240" s="8" t="s">
        <v>55</v>
      </c>
      <c r="K240" s="9" t="n">
        <v>0</v>
      </c>
      <c r="L240" s="10"/>
      <c r="M240" s="8"/>
      <c r="N240" s="8"/>
    </row>
    <row r="241" customFormat="false" ht="23.25" hidden="false" customHeight="true" outlineLevel="0" collapsed="false">
      <c r="A241" s="7" t="s">
        <v>898</v>
      </c>
      <c r="B241" s="7" t="s">
        <v>878</v>
      </c>
      <c r="C241" s="7" t="s">
        <v>895</v>
      </c>
      <c r="D241" s="7" t="s">
        <v>899</v>
      </c>
      <c r="E241" s="7" t="s">
        <v>897</v>
      </c>
      <c r="F241" s="7" t="s">
        <v>174</v>
      </c>
      <c r="G241" s="7" t="s">
        <v>900</v>
      </c>
      <c r="H241" s="7" t="s">
        <v>901</v>
      </c>
      <c r="I241" s="7" t="s">
        <v>902</v>
      </c>
      <c r="J241" s="8" t="s">
        <v>55</v>
      </c>
      <c r="K241" s="9" t="n">
        <v>0</v>
      </c>
      <c r="L241" s="10"/>
      <c r="M241" s="8"/>
      <c r="N241" s="8"/>
    </row>
    <row r="242" customFormat="false" ht="23.25" hidden="false" customHeight="true" outlineLevel="0" collapsed="false">
      <c r="A242" s="7" t="s">
        <v>903</v>
      </c>
      <c r="B242" s="7" t="s">
        <v>878</v>
      </c>
      <c r="C242" s="7" t="s">
        <v>895</v>
      </c>
      <c r="D242" s="7" t="s">
        <v>904</v>
      </c>
      <c r="E242" s="7" t="s">
        <v>897</v>
      </c>
      <c r="F242" s="7" t="s">
        <v>59</v>
      </c>
      <c r="G242" s="7"/>
      <c r="H242" s="7"/>
      <c r="I242" s="7" t="s">
        <v>81</v>
      </c>
      <c r="J242" s="8" t="s">
        <v>55</v>
      </c>
      <c r="K242" s="9" t="n">
        <v>0</v>
      </c>
      <c r="L242" s="10"/>
      <c r="M242" s="8"/>
      <c r="N242" s="8"/>
    </row>
    <row r="243" customFormat="false" ht="15" hidden="false" customHeight="true" outlineLevel="0" collapsed="false">
      <c r="A243" s="7" t="s">
        <v>905</v>
      </c>
      <c r="B243" s="7" t="s">
        <v>878</v>
      </c>
      <c r="C243" s="7" t="s">
        <v>906</v>
      </c>
      <c r="D243" s="7" t="s">
        <v>907</v>
      </c>
      <c r="E243" s="7" t="s">
        <v>897</v>
      </c>
      <c r="F243" s="7" t="s">
        <v>59</v>
      </c>
      <c r="G243" s="7"/>
      <c r="H243" s="7" t="s">
        <v>908</v>
      </c>
      <c r="I243" s="7" t="s">
        <v>909</v>
      </c>
      <c r="J243" s="8" t="s">
        <v>55</v>
      </c>
      <c r="K243" s="9" t="n">
        <v>0</v>
      </c>
      <c r="L243" s="10"/>
      <c r="M243" s="8"/>
      <c r="N243" s="8"/>
    </row>
    <row r="244" customFormat="false" ht="23.25" hidden="false" customHeight="true" outlineLevel="0" collapsed="false">
      <c r="A244" s="7" t="s">
        <v>910</v>
      </c>
      <c r="B244" s="7" t="s">
        <v>878</v>
      </c>
      <c r="C244" s="7" t="s">
        <v>895</v>
      </c>
      <c r="D244" s="7" t="s">
        <v>911</v>
      </c>
      <c r="E244" s="7" t="s">
        <v>897</v>
      </c>
      <c r="F244" s="7" t="s">
        <v>59</v>
      </c>
      <c r="G244" s="7"/>
      <c r="H244" s="7"/>
      <c r="I244" s="7" t="s">
        <v>81</v>
      </c>
      <c r="J244" s="8" t="s">
        <v>55</v>
      </c>
      <c r="K244" s="9" t="n">
        <v>0</v>
      </c>
      <c r="L244" s="10"/>
      <c r="M244" s="8"/>
      <c r="N244" s="8"/>
    </row>
    <row r="245" customFormat="false" ht="23.25" hidden="false" customHeight="true" outlineLevel="0" collapsed="false">
      <c r="A245" s="7" t="s">
        <v>912</v>
      </c>
      <c r="B245" s="7" t="s">
        <v>878</v>
      </c>
      <c r="C245" s="7" t="s">
        <v>913</v>
      </c>
      <c r="D245" s="7" t="s">
        <v>914</v>
      </c>
      <c r="E245" s="7" t="s">
        <v>897</v>
      </c>
      <c r="F245" s="7" t="s">
        <v>59</v>
      </c>
      <c r="G245" s="7"/>
      <c r="H245" s="7"/>
      <c r="I245" s="7" t="s">
        <v>81</v>
      </c>
      <c r="J245" s="8" t="s">
        <v>55</v>
      </c>
      <c r="K245" s="9" t="n">
        <v>0</v>
      </c>
      <c r="L245" s="10"/>
      <c r="M245" s="8"/>
      <c r="N245" s="8"/>
    </row>
    <row r="246" customFormat="false" ht="23.25" hidden="false" customHeight="true" outlineLevel="0" collapsed="false">
      <c r="A246" s="7" t="s">
        <v>915</v>
      </c>
      <c r="B246" s="7" t="s">
        <v>878</v>
      </c>
      <c r="C246" s="7" t="s">
        <v>916</v>
      </c>
      <c r="D246" s="7" t="s">
        <v>917</v>
      </c>
      <c r="E246" s="7" t="s">
        <v>897</v>
      </c>
      <c r="F246" s="7" t="s">
        <v>59</v>
      </c>
      <c r="G246" s="7"/>
      <c r="H246" s="7" t="s">
        <v>918</v>
      </c>
      <c r="I246" s="7" t="s">
        <v>81</v>
      </c>
      <c r="J246" s="8" t="s">
        <v>55</v>
      </c>
      <c r="K246" s="9" t="n">
        <v>0</v>
      </c>
      <c r="L246" s="10"/>
      <c r="M246" s="8"/>
      <c r="N246" s="8"/>
    </row>
    <row r="247" customFormat="false" ht="23.25" hidden="false" customHeight="true" outlineLevel="0" collapsed="false">
      <c r="A247" s="7" t="s">
        <v>919</v>
      </c>
      <c r="B247" s="7" t="s">
        <v>878</v>
      </c>
      <c r="C247" s="7" t="s">
        <v>916</v>
      </c>
      <c r="D247" s="7" t="s">
        <v>920</v>
      </c>
      <c r="E247" s="7" t="s">
        <v>921</v>
      </c>
      <c r="F247" s="7" t="s">
        <v>53</v>
      </c>
      <c r="G247" s="7"/>
      <c r="H247" s="7"/>
      <c r="I247" s="7" t="s">
        <v>99</v>
      </c>
      <c r="J247" s="8" t="s">
        <v>55</v>
      </c>
      <c r="K247" s="9" t="n">
        <v>0</v>
      </c>
      <c r="L247" s="10"/>
      <c r="M247" s="8"/>
      <c r="N247" s="8"/>
    </row>
    <row r="248" customFormat="false" ht="23.25" hidden="false" customHeight="true" outlineLevel="0" collapsed="false">
      <c r="A248" s="7" t="s">
        <v>922</v>
      </c>
      <c r="B248" s="7" t="s">
        <v>878</v>
      </c>
      <c r="C248" s="7" t="s">
        <v>913</v>
      </c>
      <c r="D248" s="7" t="s">
        <v>923</v>
      </c>
      <c r="E248" s="7" t="s">
        <v>924</v>
      </c>
      <c r="F248" s="7" t="s">
        <v>53</v>
      </c>
      <c r="G248" s="7"/>
      <c r="H248" s="7"/>
      <c r="I248" s="7" t="s">
        <v>99</v>
      </c>
      <c r="J248" s="8" t="s">
        <v>55</v>
      </c>
      <c r="K248" s="9" t="n">
        <v>0</v>
      </c>
      <c r="L248" s="10"/>
      <c r="M248" s="8"/>
      <c r="N248" s="8"/>
    </row>
    <row r="249" customFormat="false" ht="23.25" hidden="false" customHeight="true" outlineLevel="0" collapsed="false">
      <c r="A249" s="7" t="s">
        <v>925</v>
      </c>
      <c r="B249" s="7" t="s">
        <v>878</v>
      </c>
      <c r="C249" s="7" t="s">
        <v>926</v>
      </c>
      <c r="D249" s="7" t="s">
        <v>927</v>
      </c>
      <c r="E249" s="7" t="s">
        <v>924</v>
      </c>
      <c r="F249" s="7" t="s">
        <v>59</v>
      </c>
      <c r="G249" s="7"/>
      <c r="H249" s="7"/>
      <c r="I249" s="7" t="s">
        <v>81</v>
      </c>
      <c r="J249" s="8" t="s">
        <v>55</v>
      </c>
      <c r="K249" s="9" t="n">
        <v>0</v>
      </c>
      <c r="L249" s="10"/>
      <c r="M249" s="8"/>
      <c r="N249" s="8"/>
    </row>
    <row r="250" customFormat="false" ht="15" hidden="false" customHeight="true" outlineLevel="0" collapsed="false">
      <c r="A250" s="7" t="s">
        <v>928</v>
      </c>
      <c r="B250" s="7" t="s">
        <v>878</v>
      </c>
      <c r="C250" s="7" t="s">
        <v>929</v>
      </c>
      <c r="D250" s="7" t="s">
        <v>930</v>
      </c>
      <c r="E250" s="7" t="s">
        <v>924</v>
      </c>
      <c r="F250" s="7" t="s">
        <v>59</v>
      </c>
      <c r="G250" s="7"/>
      <c r="H250" s="7"/>
      <c r="I250" s="7" t="s">
        <v>931</v>
      </c>
      <c r="J250" s="8" t="s">
        <v>55</v>
      </c>
      <c r="K250" s="9" t="n">
        <v>0</v>
      </c>
      <c r="L250" s="10"/>
      <c r="M250" s="8"/>
      <c r="N250" s="8"/>
    </row>
    <row r="251" customFormat="false" ht="23.25" hidden="false" customHeight="true" outlineLevel="0" collapsed="false">
      <c r="A251" s="7" t="s">
        <v>932</v>
      </c>
      <c r="B251" s="7" t="s">
        <v>878</v>
      </c>
      <c r="C251" s="7" t="s">
        <v>933</v>
      </c>
      <c r="D251" s="7" t="s">
        <v>934</v>
      </c>
      <c r="E251" s="7" t="s">
        <v>924</v>
      </c>
      <c r="F251" s="7" t="s">
        <v>59</v>
      </c>
      <c r="G251" s="7"/>
      <c r="H251" s="7" t="s">
        <v>935</v>
      </c>
      <c r="I251" s="7" t="s">
        <v>81</v>
      </c>
      <c r="J251" s="8" t="s">
        <v>55</v>
      </c>
      <c r="K251" s="9" t="n">
        <v>0</v>
      </c>
      <c r="L251" s="10"/>
      <c r="M251" s="8"/>
      <c r="N251" s="8"/>
    </row>
    <row r="252" customFormat="false" ht="23.25" hidden="false" customHeight="true" outlineLevel="0" collapsed="false">
      <c r="A252" s="7" t="s">
        <v>936</v>
      </c>
      <c r="B252" s="7" t="s">
        <v>878</v>
      </c>
      <c r="C252" s="7" t="s">
        <v>937</v>
      </c>
      <c r="D252" s="7" t="s">
        <v>938</v>
      </c>
      <c r="E252" s="7" t="s">
        <v>924</v>
      </c>
      <c r="F252" s="7" t="s">
        <v>59</v>
      </c>
      <c r="G252" s="7"/>
      <c r="H252" s="7"/>
      <c r="I252" s="7" t="s">
        <v>81</v>
      </c>
      <c r="J252" s="8" t="s">
        <v>55</v>
      </c>
      <c r="K252" s="9" t="n">
        <v>0</v>
      </c>
      <c r="L252" s="10"/>
      <c r="M252" s="8"/>
      <c r="N252" s="8"/>
    </row>
    <row r="253" customFormat="false" ht="23.25" hidden="false" customHeight="true" outlineLevel="0" collapsed="false">
      <c r="A253" s="7" t="s">
        <v>939</v>
      </c>
      <c r="B253" s="7" t="s">
        <v>878</v>
      </c>
      <c r="C253" s="7" t="s">
        <v>940</v>
      </c>
      <c r="D253" s="7" t="s">
        <v>941</v>
      </c>
      <c r="E253" s="7" t="s">
        <v>942</v>
      </c>
      <c r="F253" s="7" t="s">
        <v>53</v>
      </c>
      <c r="G253" s="7"/>
      <c r="H253" s="7"/>
      <c r="I253" s="7" t="s">
        <v>99</v>
      </c>
      <c r="J253" s="8" t="s">
        <v>55</v>
      </c>
      <c r="K253" s="9" t="n">
        <v>0</v>
      </c>
      <c r="L253" s="10"/>
      <c r="M253" s="8"/>
      <c r="N253" s="8"/>
    </row>
    <row r="254" customFormat="false" ht="15" hidden="false" customHeight="true" outlineLevel="0" collapsed="false">
      <c r="A254" s="7" t="s">
        <v>943</v>
      </c>
      <c r="B254" s="7" t="s">
        <v>944</v>
      </c>
      <c r="C254" s="7" t="s">
        <v>945</v>
      </c>
      <c r="D254" s="7" t="s">
        <v>946</v>
      </c>
      <c r="E254" s="7" t="s">
        <v>947</v>
      </c>
      <c r="F254" s="7" t="s">
        <v>59</v>
      </c>
      <c r="G254" s="7"/>
      <c r="H254" s="7"/>
      <c r="I254" s="7" t="s">
        <v>948</v>
      </c>
      <c r="J254" s="8" t="s">
        <v>55</v>
      </c>
      <c r="K254" s="9" t="n">
        <v>0</v>
      </c>
      <c r="L254" s="10"/>
      <c r="M254" s="8"/>
      <c r="N254" s="8"/>
    </row>
    <row r="255" customFormat="false" ht="23.25" hidden="false" customHeight="true" outlineLevel="0" collapsed="false">
      <c r="A255" s="7" t="s">
        <v>949</v>
      </c>
      <c r="B255" s="7" t="s">
        <v>944</v>
      </c>
      <c r="C255" s="7" t="s">
        <v>950</v>
      </c>
      <c r="D255" s="7" t="s">
        <v>951</v>
      </c>
      <c r="E255" s="7" t="s">
        <v>947</v>
      </c>
      <c r="F255" s="7" t="s">
        <v>59</v>
      </c>
      <c r="G255" s="7"/>
      <c r="H255" s="7"/>
      <c r="I255" s="7" t="s">
        <v>81</v>
      </c>
      <c r="J255" s="8" t="s">
        <v>55</v>
      </c>
      <c r="K255" s="9" t="n">
        <v>0</v>
      </c>
      <c r="L255" s="10"/>
      <c r="M255" s="8"/>
      <c r="N255" s="8"/>
    </row>
    <row r="256" customFormat="false" ht="23.25" hidden="false" customHeight="true" outlineLevel="0" collapsed="false">
      <c r="A256" s="7" t="s">
        <v>952</v>
      </c>
      <c r="B256" s="7" t="s">
        <v>944</v>
      </c>
      <c r="C256" s="7" t="s">
        <v>950</v>
      </c>
      <c r="D256" s="7" t="s">
        <v>953</v>
      </c>
      <c r="E256" s="7" t="s">
        <v>947</v>
      </c>
      <c r="F256" s="7" t="s">
        <v>59</v>
      </c>
      <c r="G256" s="7"/>
      <c r="H256" s="7"/>
      <c r="I256" s="7" t="s">
        <v>81</v>
      </c>
      <c r="J256" s="8" t="s">
        <v>55</v>
      </c>
      <c r="K256" s="9" t="n">
        <v>0</v>
      </c>
      <c r="L256" s="10"/>
      <c r="M256" s="8"/>
      <c r="N256" s="8"/>
    </row>
    <row r="257" customFormat="false" ht="23.25" hidden="false" customHeight="true" outlineLevel="0" collapsed="false">
      <c r="A257" s="7" t="s">
        <v>954</v>
      </c>
      <c r="B257" s="7" t="s">
        <v>944</v>
      </c>
      <c r="C257" s="7" t="s">
        <v>950</v>
      </c>
      <c r="D257" s="7" t="s">
        <v>955</v>
      </c>
      <c r="E257" s="7" t="s">
        <v>947</v>
      </c>
      <c r="F257" s="7" t="s">
        <v>53</v>
      </c>
      <c r="G257" s="7"/>
      <c r="H257" s="7"/>
      <c r="I257" s="7" t="s">
        <v>99</v>
      </c>
      <c r="J257" s="8" t="s">
        <v>55</v>
      </c>
      <c r="K257" s="9" t="n">
        <v>0</v>
      </c>
      <c r="L257" s="10"/>
      <c r="M257" s="8"/>
      <c r="N257" s="8"/>
    </row>
    <row r="258" customFormat="false" ht="23.25" hidden="false" customHeight="true" outlineLevel="0" collapsed="false">
      <c r="A258" s="7" t="s">
        <v>956</v>
      </c>
      <c r="B258" s="7" t="s">
        <v>944</v>
      </c>
      <c r="C258" s="7" t="s">
        <v>950</v>
      </c>
      <c r="D258" s="7" t="s">
        <v>957</v>
      </c>
      <c r="E258" s="7" t="s">
        <v>947</v>
      </c>
      <c r="F258" s="7" t="s">
        <v>53</v>
      </c>
      <c r="G258" s="7"/>
      <c r="H258" s="7"/>
      <c r="I258" s="7" t="s">
        <v>99</v>
      </c>
      <c r="J258" s="8" t="s">
        <v>55</v>
      </c>
      <c r="K258" s="9" t="n">
        <v>0</v>
      </c>
      <c r="L258" s="10"/>
      <c r="M258" s="8"/>
      <c r="N258" s="8"/>
    </row>
    <row r="259" customFormat="false" ht="23.25" hidden="false" customHeight="true" outlineLevel="0" collapsed="false">
      <c r="A259" s="7" t="s">
        <v>958</v>
      </c>
      <c r="B259" s="7" t="s">
        <v>944</v>
      </c>
      <c r="C259" s="7" t="s">
        <v>959</v>
      </c>
      <c r="D259" s="7" t="s">
        <v>960</v>
      </c>
      <c r="E259" s="7" t="s">
        <v>947</v>
      </c>
      <c r="F259" s="7" t="s">
        <v>59</v>
      </c>
      <c r="G259" s="7"/>
      <c r="H259" s="7"/>
      <c r="I259" s="7" t="s">
        <v>81</v>
      </c>
      <c r="J259" s="8" t="s">
        <v>55</v>
      </c>
      <c r="K259" s="9" t="n">
        <v>0</v>
      </c>
      <c r="L259" s="10"/>
      <c r="M259" s="8"/>
      <c r="N259" s="8"/>
    </row>
    <row r="260" customFormat="false" ht="15" hidden="false" customHeight="true" outlineLevel="0" collapsed="false">
      <c r="A260" s="7" t="s">
        <v>961</v>
      </c>
      <c r="B260" s="7" t="s">
        <v>944</v>
      </c>
      <c r="C260" s="7" t="s">
        <v>962</v>
      </c>
      <c r="D260" s="7" t="s">
        <v>963</v>
      </c>
      <c r="E260" s="7" t="s">
        <v>964</v>
      </c>
      <c r="F260" s="7" t="s">
        <v>53</v>
      </c>
      <c r="G260" s="7"/>
      <c r="H260" s="7"/>
      <c r="I260" s="7" t="s">
        <v>514</v>
      </c>
      <c r="J260" s="8" t="s">
        <v>55</v>
      </c>
      <c r="K260" s="9" t="n">
        <v>0</v>
      </c>
      <c r="L260" s="10"/>
      <c r="M260" s="8"/>
      <c r="N260" s="8"/>
    </row>
    <row r="261" customFormat="false" ht="23.25" hidden="false" customHeight="true" outlineLevel="0" collapsed="false">
      <c r="A261" s="7" t="s">
        <v>965</v>
      </c>
      <c r="B261" s="7" t="s">
        <v>944</v>
      </c>
      <c r="C261" s="7" t="s">
        <v>966</v>
      </c>
      <c r="D261" s="7" t="s">
        <v>967</v>
      </c>
      <c r="E261" s="7" t="s">
        <v>968</v>
      </c>
      <c r="F261" s="7" t="s">
        <v>174</v>
      </c>
      <c r="G261" s="7" t="s">
        <v>969</v>
      </c>
      <c r="H261" s="7" t="s">
        <v>970</v>
      </c>
      <c r="I261" s="7" t="s">
        <v>971</v>
      </c>
      <c r="J261" s="8" t="s">
        <v>55</v>
      </c>
      <c r="K261" s="9" t="n">
        <v>0</v>
      </c>
      <c r="L261" s="10"/>
      <c r="M261" s="8"/>
      <c r="N261" s="8"/>
    </row>
    <row r="262" customFormat="false" ht="23.25" hidden="false" customHeight="true" outlineLevel="0" collapsed="false">
      <c r="A262" s="7" t="s">
        <v>972</v>
      </c>
      <c r="B262" s="7" t="s">
        <v>944</v>
      </c>
      <c r="C262" s="7" t="s">
        <v>973</v>
      </c>
      <c r="D262" s="7" t="s">
        <v>974</v>
      </c>
      <c r="E262" s="7" t="s">
        <v>968</v>
      </c>
      <c r="F262" s="7" t="s">
        <v>53</v>
      </c>
      <c r="G262" s="7"/>
      <c r="H262" s="7"/>
      <c r="I262" s="7" t="s">
        <v>99</v>
      </c>
      <c r="J262" s="8" t="s">
        <v>55</v>
      </c>
      <c r="K262" s="9" t="n">
        <v>0</v>
      </c>
      <c r="L262" s="10"/>
      <c r="M262" s="8"/>
      <c r="N262" s="8"/>
    </row>
    <row r="263" customFormat="false" ht="23.25" hidden="false" customHeight="true" outlineLevel="0" collapsed="false">
      <c r="A263" s="7" t="s">
        <v>975</v>
      </c>
      <c r="B263" s="7" t="s">
        <v>944</v>
      </c>
      <c r="C263" s="7" t="s">
        <v>976</v>
      </c>
      <c r="D263" s="7" t="s">
        <v>977</v>
      </c>
      <c r="E263" s="7" t="s">
        <v>968</v>
      </c>
      <c r="F263" s="7" t="s">
        <v>59</v>
      </c>
      <c r="G263" s="7"/>
      <c r="H263" s="7"/>
      <c r="I263" s="7" t="s">
        <v>81</v>
      </c>
      <c r="J263" s="8" t="s">
        <v>55</v>
      </c>
      <c r="K263" s="9" t="n">
        <v>0</v>
      </c>
      <c r="L263" s="10"/>
      <c r="M263" s="8"/>
      <c r="N263" s="8"/>
    </row>
    <row r="264" customFormat="false" ht="23.25" hidden="false" customHeight="true" outlineLevel="0" collapsed="false">
      <c r="A264" s="7" t="s">
        <v>978</v>
      </c>
      <c r="B264" s="7" t="s">
        <v>944</v>
      </c>
      <c r="C264" s="7" t="s">
        <v>979</v>
      </c>
      <c r="D264" s="7" t="s">
        <v>980</v>
      </c>
      <c r="E264" s="7" t="s">
        <v>968</v>
      </c>
      <c r="F264" s="7" t="s">
        <v>59</v>
      </c>
      <c r="G264" s="7"/>
      <c r="H264" s="7"/>
      <c r="I264" s="7" t="s">
        <v>81</v>
      </c>
      <c r="J264" s="8" t="s">
        <v>55</v>
      </c>
      <c r="K264" s="9" t="n">
        <v>0</v>
      </c>
      <c r="L264" s="10"/>
      <c r="M264" s="8"/>
      <c r="N264" s="8"/>
    </row>
    <row r="265" customFormat="false" ht="23.25" hidden="false" customHeight="true" outlineLevel="0" collapsed="false">
      <c r="A265" s="7" t="s">
        <v>981</v>
      </c>
      <c r="B265" s="7" t="s">
        <v>944</v>
      </c>
      <c r="C265" s="7" t="s">
        <v>982</v>
      </c>
      <c r="D265" s="7" t="s">
        <v>983</v>
      </c>
      <c r="E265" s="7" t="s">
        <v>968</v>
      </c>
      <c r="F265" s="7" t="s">
        <v>53</v>
      </c>
      <c r="G265" s="7"/>
      <c r="H265" s="7"/>
      <c r="I265" s="7" t="s">
        <v>99</v>
      </c>
      <c r="J265" s="8" t="s">
        <v>55</v>
      </c>
      <c r="K265" s="9" t="n">
        <v>0</v>
      </c>
      <c r="L265" s="10"/>
      <c r="M265" s="8"/>
      <c r="N265" s="8"/>
    </row>
    <row r="266" customFormat="false" ht="23.25" hidden="false" customHeight="true" outlineLevel="0" collapsed="false">
      <c r="A266" s="7" t="s">
        <v>984</v>
      </c>
      <c r="B266" s="7" t="s">
        <v>944</v>
      </c>
      <c r="C266" s="7" t="s">
        <v>985</v>
      </c>
      <c r="D266" s="7" t="s">
        <v>986</v>
      </c>
      <c r="E266" s="7" t="s">
        <v>968</v>
      </c>
      <c r="F266" s="7" t="s">
        <v>59</v>
      </c>
      <c r="G266" s="7"/>
      <c r="H266" s="7"/>
      <c r="I266" s="7" t="s">
        <v>81</v>
      </c>
      <c r="J266" s="8" t="s">
        <v>55</v>
      </c>
      <c r="K266" s="9" t="n">
        <v>0</v>
      </c>
      <c r="L266" s="10"/>
      <c r="M266" s="8"/>
      <c r="N266" s="8"/>
    </row>
    <row r="267" customFormat="false" ht="23.25" hidden="false" customHeight="true" outlineLevel="0" collapsed="false">
      <c r="A267" s="7" t="s">
        <v>987</v>
      </c>
      <c r="B267" s="7" t="s">
        <v>944</v>
      </c>
      <c r="C267" s="7" t="s">
        <v>988</v>
      </c>
      <c r="D267" s="7" t="s">
        <v>989</v>
      </c>
      <c r="E267" s="7" t="s">
        <v>990</v>
      </c>
      <c r="F267" s="7" t="s">
        <v>59</v>
      </c>
      <c r="G267" s="7"/>
      <c r="H267" s="7"/>
      <c r="I267" s="7" t="s">
        <v>81</v>
      </c>
      <c r="J267" s="8" t="s">
        <v>55</v>
      </c>
      <c r="K267" s="9" t="n">
        <v>0</v>
      </c>
      <c r="L267" s="10"/>
      <c r="M267" s="8"/>
      <c r="N267" s="8"/>
    </row>
    <row r="268" customFormat="false" ht="23.25" hidden="false" customHeight="true" outlineLevel="0" collapsed="false">
      <c r="A268" s="7" t="s">
        <v>991</v>
      </c>
      <c r="B268" s="7" t="s">
        <v>944</v>
      </c>
      <c r="C268" s="7" t="s">
        <v>992</v>
      </c>
      <c r="D268" s="7" t="s">
        <v>993</v>
      </c>
      <c r="E268" s="7" t="s">
        <v>994</v>
      </c>
      <c r="F268" s="7" t="s">
        <v>59</v>
      </c>
      <c r="G268" s="7"/>
      <c r="H268" s="7"/>
      <c r="I268" s="7" t="s">
        <v>81</v>
      </c>
      <c r="J268" s="8" t="s">
        <v>55</v>
      </c>
      <c r="K268" s="9" t="n">
        <v>0</v>
      </c>
      <c r="L268" s="10"/>
      <c r="M268" s="8"/>
      <c r="N268" s="8"/>
    </row>
    <row r="269" customFormat="false" ht="23.25" hidden="false" customHeight="true" outlineLevel="0" collapsed="false">
      <c r="A269" s="7" t="s">
        <v>995</v>
      </c>
      <c r="B269" s="7" t="s">
        <v>944</v>
      </c>
      <c r="C269" s="7" t="s">
        <v>996</v>
      </c>
      <c r="D269" s="7" t="s">
        <v>997</v>
      </c>
      <c r="E269" s="7" t="s">
        <v>994</v>
      </c>
      <c r="F269" s="7" t="s">
        <v>59</v>
      </c>
      <c r="G269" s="7"/>
      <c r="H269" s="7"/>
      <c r="I269" s="7" t="s">
        <v>81</v>
      </c>
      <c r="J269" s="8" t="s">
        <v>55</v>
      </c>
      <c r="K269" s="9" t="n">
        <v>0</v>
      </c>
      <c r="L269" s="10"/>
      <c r="M269" s="8"/>
      <c r="N269" s="8"/>
    </row>
    <row r="270" customFormat="false" ht="23.25" hidden="false" customHeight="true" outlineLevel="0" collapsed="false">
      <c r="A270" s="7" t="s">
        <v>998</v>
      </c>
      <c r="B270" s="7" t="s">
        <v>944</v>
      </c>
      <c r="C270" s="7" t="s">
        <v>996</v>
      </c>
      <c r="D270" s="7" t="s">
        <v>999</v>
      </c>
      <c r="E270" s="7" t="s">
        <v>994</v>
      </c>
      <c r="F270" s="7" t="s">
        <v>53</v>
      </c>
      <c r="G270" s="7"/>
      <c r="H270" s="7"/>
      <c r="I270" s="7" t="s">
        <v>99</v>
      </c>
      <c r="J270" s="8" t="s">
        <v>55</v>
      </c>
      <c r="K270" s="9" t="n">
        <v>0</v>
      </c>
      <c r="L270" s="10"/>
      <c r="M270" s="8"/>
      <c r="N270" s="8"/>
    </row>
    <row r="271" customFormat="false" ht="23.25" hidden="false" customHeight="true" outlineLevel="0" collapsed="false">
      <c r="A271" s="7" t="s">
        <v>1000</v>
      </c>
      <c r="B271" s="7" t="s">
        <v>944</v>
      </c>
      <c r="C271" s="7" t="s">
        <v>1001</v>
      </c>
      <c r="D271" s="7" t="s">
        <v>1002</v>
      </c>
      <c r="E271" s="7" t="s">
        <v>1003</v>
      </c>
      <c r="F271" s="7" t="s">
        <v>59</v>
      </c>
      <c r="G271" s="7"/>
      <c r="H271" s="7"/>
      <c r="I271" s="7" t="s">
        <v>1004</v>
      </c>
      <c r="J271" s="8" t="s">
        <v>55</v>
      </c>
      <c r="K271" s="9" t="n">
        <v>0</v>
      </c>
      <c r="L271" s="10"/>
      <c r="M271" s="8"/>
      <c r="N271" s="8"/>
    </row>
    <row r="272" customFormat="false" ht="23.25" hidden="false" customHeight="true" outlineLevel="0" collapsed="false">
      <c r="A272" s="7" t="s">
        <v>1005</v>
      </c>
      <c r="B272" s="7" t="s">
        <v>944</v>
      </c>
      <c r="C272" s="7" t="s">
        <v>1001</v>
      </c>
      <c r="D272" s="7" t="s">
        <v>1006</v>
      </c>
      <c r="E272" s="7" t="s">
        <v>1003</v>
      </c>
      <c r="F272" s="7" t="s">
        <v>59</v>
      </c>
      <c r="G272" s="7"/>
      <c r="H272" s="7"/>
      <c r="I272" s="7" t="s">
        <v>81</v>
      </c>
      <c r="J272" s="8" t="s">
        <v>55</v>
      </c>
      <c r="K272" s="9" t="n">
        <v>0</v>
      </c>
      <c r="L272" s="10"/>
      <c r="M272" s="8"/>
      <c r="N272" s="8"/>
    </row>
    <row r="273" customFormat="false" ht="23.25" hidden="false" customHeight="true" outlineLevel="0" collapsed="false">
      <c r="A273" s="7" t="s">
        <v>1007</v>
      </c>
      <c r="B273" s="7" t="s">
        <v>944</v>
      </c>
      <c r="C273" s="7" t="s">
        <v>1001</v>
      </c>
      <c r="D273" s="7" t="s">
        <v>1008</v>
      </c>
      <c r="E273" s="7" t="s">
        <v>1003</v>
      </c>
      <c r="F273" s="7" t="s">
        <v>53</v>
      </c>
      <c r="G273" s="7"/>
      <c r="H273" s="7"/>
      <c r="I273" s="7" t="s">
        <v>99</v>
      </c>
      <c r="J273" s="8" t="s">
        <v>55</v>
      </c>
      <c r="K273" s="9" t="n">
        <v>0</v>
      </c>
      <c r="L273" s="10"/>
      <c r="M273" s="8"/>
      <c r="N273" s="8"/>
    </row>
    <row r="274" customFormat="false" ht="23.25" hidden="false" customHeight="true" outlineLevel="0" collapsed="false">
      <c r="A274" s="7" t="s">
        <v>1009</v>
      </c>
      <c r="B274" s="7" t="s">
        <v>1010</v>
      </c>
      <c r="C274" s="7" t="s">
        <v>1011</v>
      </c>
      <c r="D274" s="7" t="s">
        <v>1012</v>
      </c>
      <c r="E274" s="7" t="s">
        <v>1013</v>
      </c>
      <c r="F274" s="7" t="s">
        <v>59</v>
      </c>
      <c r="G274" s="7"/>
      <c r="H274" s="7" t="s">
        <v>1014</v>
      </c>
      <c r="I274" s="7" t="s">
        <v>1015</v>
      </c>
      <c r="J274" s="8" t="s">
        <v>55</v>
      </c>
      <c r="K274" s="9" t="n">
        <v>0</v>
      </c>
      <c r="L274" s="10"/>
      <c r="M274" s="8"/>
      <c r="N274" s="8"/>
    </row>
    <row r="275" customFormat="false" ht="23.25" hidden="false" customHeight="true" outlineLevel="0" collapsed="false">
      <c r="A275" s="7" t="s">
        <v>1016</v>
      </c>
      <c r="B275" s="7" t="s">
        <v>1010</v>
      </c>
      <c r="C275" s="7" t="s">
        <v>1011</v>
      </c>
      <c r="D275" s="7" t="s">
        <v>1017</v>
      </c>
      <c r="E275" s="7" t="s">
        <v>1013</v>
      </c>
      <c r="F275" s="7" t="s">
        <v>59</v>
      </c>
      <c r="G275" s="7"/>
      <c r="H275" s="7"/>
      <c r="I275" s="7" t="s">
        <v>81</v>
      </c>
      <c r="J275" s="8" t="s">
        <v>55</v>
      </c>
      <c r="K275" s="9" t="n">
        <v>0</v>
      </c>
      <c r="L275" s="10"/>
      <c r="M275" s="8"/>
      <c r="N275" s="8"/>
    </row>
    <row r="276" customFormat="false" ht="23.25" hidden="false" customHeight="true" outlineLevel="0" collapsed="false">
      <c r="A276" s="7" t="s">
        <v>1018</v>
      </c>
      <c r="B276" s="7" t="s">
        <v>1010</v>
      </c>
      <c r="C276" s="7" t="s">
        <v>1011</v>
      </c>
      <c r="D276" s="7" t="s">
        <v>1019</v>
      </c>
      <c r="E276" s="7" t="s">
        <v>1020</v>
      </c>
      <c r="F276" s="7" t="s">
        <v>59</v>
      </c>
      <c r="G276" s="7"/>
      <c r="H276" s="7"/>
      <c r="I276" s="7" t="s">
        <v>81</v>
      </c>
      <c r="J276" s="8" t="s">
        <v>55</v>
      </c>
      <c r="K276" s="9" t="n">
        <v>0</v>
      </c>
      <c r="L276" s="10"/>
      <c r="M276" s="8"/>
      <c r="N276" s="8"/>
    </row>
    <row r="277" customFormat="false" ht="23.25" hidden="false" customHeight="true" outlineLevel="0" collapsed="false">
      <c r="A277" s="7" t="s">
        <v>1021</v>
      </c>
      <c r="B277" s="7" t="s">
        <v>1010</v>
      </c>
      <c r="C277" s="7" t="s">
        <v>276</v>
      </c>
      <c r="D277" s="7" t="s">
        <v>1022</v>
      </c>
      <c r="E277" s="7" t="s">
        <v>1020</v>
      </c>
      <c r="F277" s="7" t="s">
        <v>59</v>
      </c>
      <c r="G277" s="7"/>
      <c r="H277" s="7"/>
      <c r="I277" s="7" t="s">
        <v>81</v>
      </c>
      <c r="J277" s="8" t="s">
        <v>55</v>
      </c>
      <c r="K277" s="9" t="n">
        <v>0</v>
      </c>
      <c r="L277" s="10"/>
      <c r="M277" s="8"/>
      <c r="N277" s="8"/>
    </row>
    <row r="278" customFormat="false" ht="23.25" hidden="false" customHeight="true" outlineLevel="0" collapsed="false">
      <c r="A278" s="7" t="s">
        <v>1023</v>
      </c>
      <c r="B278" s="7" t="s">
        <v>1010</v>
      </c>
      <c r="C278" s="7" t="s">
        <v>1024</v>
      </c>
      <c r="D278" s="7" t="s">
        <v>1025</v>
      </c>
      <c r="E278" s="7" t="s">
        <v>1020</v>
      </c>
      <c r="F278" s="7" t="s">
        <v>59</v>
      </c>
      <c r="G278" s="7"/>
      <c r="H278" s="7"/>
      <c r="I278" s="7" t="s">
        <v>81</v>
      </c>
      <c r="J278" s="8" t="s">
        <v>55</v>
      </c>
      <c r="K278" s="9" t="n">
        <v>0</v>
      </c>
      <c r="L278" s="10"/>
      <c r="M278" s="8"/>
      <c r="N278" s="8"/>
    </row>
    <row r="279" customFormat="false" ht="23.25" hidden="false" customHeight="true" outlineLevel="0" collapsed="false">
      <c r="A279" s="7" t="s">
        <v>1026</v>
      </c>
      <c r="B279" s="7" t="s">
        <v>1010</v>
      </c>
      <c r="C279" s="7" t="s">
        <v>1027</v>
      </c>
      <c r="D279" s="7" t="s">
        <v>1028</v>
      </c>
      <c r="E279" s="7" t="s">
        <v>1029</v>
      </c>
      <c r="F279" s="7" t="s">
        <v>59</v>
      </c>
      <c r="G279" s="7"/>
      <c r="H279" s="7"/>
      <c r="I279" s="7" t="s">
        <v>81</v>
      </c>
      <c r="J279" s="8" t="s">
        <v>55</v>
      </c>
      <c r="K279" s="9" t="n">
        <v>0</v>
      </c>
      <c r="L279" s="10"/>
      <c r="M279" s="8"/>
      <c r="N279" s="8"/>
    </row>
    <row r="280" customFormat="false" ht="23.25" hidden="false" customHeight="true" outlineLevel="0" collapsed="false">
      <c r="A280" s="7" t="s">
        <v>1030</v>
      </c>
      <c r="B280" s="7" t="s">
        <v>1010</v>
      </c>
      <c r="C280" s="7" t="s">
        <v>1027</v>
      </c>
      <c r="D280" s="7" t="s">
        <v>1031</v>
      </c>
      <c r="E280" s="7" t="s">
        <v>1029</v>
      </c>
      <c r="F280" s="7" t="s">
        <v>59</v>
      </c>
      <c r="G280" s="7"/>
      <c r="H280" s="7"/>
      <c r="I280" s="7" t="s">
        <v>81</v>
      </c>
      <c r="J280" s="8" t="s">
        <v>55</v>
      </c>
      <c r="K280" s="9" t="n">
        <v>0</v>
      </c>
      <c r="L280" s="10"/>
      <c r="M280" s="8"/>
      <c r="N280" s="8"/>
    </row>
    <row r="281" customFormat="false" ht="23.25" hidden="false" customHeight="true" outlineLevel="0" collapsed="false">
      <c r="A281" s="7" t="s">
        <v>1032</v>
      </c>
      <c r="B281" s="7" t="s">
        <v>1010</v>
      </c>
      <c r="C281" s="7" t="s">
        <v>1033</v>
      </c>
      <c r="D281" s="7" t="s">
        <v>1034</v>
      </c>
      <c r="E281" s="7" t="s">
        <v>1029</v>
      </c>
      <c r="F281" s="7" t="s">
        <v>59</v>
      </c>
      <c r="G281" s="7"/>
      <c r="H281" s="7" t="s">
        <v>1035</v>
      </c>
      <c r="I281" s="7" t="s">
        <v>81</v>
      </c>
      <c r="J281" s="8" t="s">
        <v>55</v>
      </c>
      <c r="K281" s="9" t="n">
        <v>0</v>
      </c>
      <c r="L281" s="10"/>
      <c r="M281" s="8"/>
      <c r="N281" s="8"/>
    </row>
    <row r="282" customFormat="false" ht="23.25" hidden="false" customHeight="true" outlineLevel="0" collapsed="false">
      <c r="A282" s="7" t="s">
        <v>1036</v>
      </c>
      <c r="B282" s="7" t="s">
        <v>1010</v>
      </c>
      <c r="C282" s="7" t="s">
        <v>1037</v>
      </c>
      <c r="D282" s="7" t="s">
        <v>1038</v>
      </c>
      <c r="E282" s="7" t="s">
        <v>1039</v>
      </c>
      <c r="F282" s="7" t="s">
        <v>59</v>
      </c>
      <c r="G282" s="7"/>
      <c r="H282" s="7"/>
      <c r="I282" s="7" t="s">
        <v>81</v>
      </c>
      <c r="J282" s="8" t="s">
        <v>55</v>
      </c>
      <c r="K282" s="9" t="n">
        <v>0</v>
      </c>
      <c r="L282" s="10"/>
      <c r="M282" s="8"/>
      <c r="N282" s="8"/>
    </row>
    <row r="283" customFormat="false" ht="23.25" hidden="false" customHeight="true" outlineLevel="0" collapsed="false">
      <c r="A283" s="7" t="s">
        <v>1040</v>
      </c>
      <c r="B283" s="7" t="s">
        <v>1010</v>
      </c>
      <c r="C283" s="7" t="s">
        <v>1037</v>
      </c>
      <c r="D283" s="7" t="s">
        <v>1041</v>
      </c>
      <c r="E283" s="7" t="s">
        <v>1042</v>
      </c>
      <c r="F283" s="7" t="s">
        <v>59</v>
      </c>
      <c r="G283" s="7"/>
      <c r="H283" s="7"/>
      <c r="I283" s="7" t="s">
        <v>81</v>
      </c>
      <c r="J283" s="8" t="s">
        <v>55</v>
      </c>
      <c r="K283" s="9" t="n">
        <v>0</v>
      </c>
      <c r="L283" s="10"/>
      <c r="M283" s="8"/>
      <c r="N283" s="8"/>
    </row>
    <row r="284" customFormat="false" ht="23.25" hidden="false" customHeight="true" outlineLevel="0" collapsed="false">
      <c r="A284" s="7" t="s">
        <v>1043</v>
      </c>
      <c r="B284" s="7" t="s">
        <v>1010</v>
      </c>
      <c r="C284" s="7" t="s">
        <v>1044</v>
      </c>
      <c r="D284" s="7" t="s">
        <v>1045</v>
      </c>
      <c r="E284" s="7" t="s">
        <v>1042</v>
      </c>
      <c r="F284" s="7" t="s">
        <v>59</v>
      </c>
      <c r="G284" s="7"/>
      <c r="H284" s="7"/>
      <c r="I284" s="7" t="s">
        <v>81</v>
      </c>
      <c r="J284" s="8" t="s">
        <v>55</v>
      </c>
      <c r="K284" s="9" t="n">
        <v>0</v>
      </c>
      <c r="L284" s="10"/>
      <c r="M284" s="8"/>
      <c r="N284" s="8"/>
    </row>
    <row r="285" customFormat="false" ht="23.25" hidden="false" customHeight="true" outlineLevel="0" collapsed="false">
      <c r="A285" s="7" t="s">
        <v>1046</v>
      </c>
      <c r="B285" s="7" t="s">
        <v>1010</v>
      </c>
      <c r="C285" s="7" t="s">
        <v>1044</v>
      </c>
      <c r="D285" s="7" t="s">
        <v>1047</v>
      </c>
      <c r="E285" s="7" t="s">
        <v>1042</v>
      </c>
      <c r="F285" s="7" t="s">
        <v>59</v>
      </c>
      <c r="G285" s="7"/>
      <c r="H285" s="7"/>
      <c r="I285" s="7" t="s">
        <v>81</v>
      </c>
      <c r="J285" s="8" t="s">
        <v>55</v>
      </c>
      <c r="K285" s="9" t="n">
        <v>0</v>
      </c>
      <c r="L285" s="10"/>
      <c r="M285" s="8"/>
      <c r="N285" s="8"/>
    </row>
    <row r="286" customFormat="false" ht="23.25" hidden="false" customHeight="true" outlineLevel="0" collapsed="false">
      <c r="A286" s="7" t="s">
        <v>1048</v>
      </c>
      <c r="B286" s="7" t="s">
        <v>1010</v>
      </c>
      <c r="C286" s="7" t="s">
        <v>1044</v>
      </c>
      <c r="D286" s="7" t="s">
        <v>1049</v>
      </c>
      <c r="E286" s="7" t="s">
        <v>1042</v>
      </c>
      <c r="F286" s="7" t="s">
        <v>59</v>
      </c>
      <c r="G286" s="7"/>
      <c r="H286" s="7"/>
      <c r="I286" s="7" t="s">
        <v>81</v>
      </c>
      <c r="J286" s="8" t="s">
        <v>55</v>
      </c>
      <c r="K286" s="9" t="n">
        <v>0</v>
      </c>
      <c r="L286" s="10"/>
      <c r="M286" s="8"/>
      <c r="N286" s="8"/>
    </row>
    <row r="287" customFormat="false" ht="23.25" hidden="false" customHeight="true" outlineLevel="0" collapsed="false">
      <c r="A287" s="7" t="s">
        <v>1050</v>
      </c>
      <c r="B287" s="7" t="s">
        <v>1010</v>
      </c>
      <c r="C287" s="7" t="s">
        <v>1044</v>
      </c>
      <c r="D287" s="7" t="s">
        <v>1051</v>
      </c>
      <c r="E287" s="7" t="s">
        <v>1042</v>
      </c>
      <c r="F287" s="7" t="s">
        <v>59</v>
      </c>
      <c r="G287" s="7"/>
      <c r="H287" s="7"/>
      <c r="I287" s="7" t="s">
        <v>81</v>
      </c>
      <c r="J287" s="8" t="s">
        <v>55</v>
      </c>
      <c r="K287" s="9" t="n">
        <v>0</v>
      </c>
      <c r="L287" s="10"/>
      <c r="M287" s="8"/>
      <c r="N287" s="8"/>
    </row>
    <row r="288" customFormat="false" ht="23.25" hidden="false" customHeight="true" outlineLevel="0" collapsed="false">
      <c r="A288" s="7" t="s">
        <v>1052</v>
      </c>
      <c r="B288" s="7" t="s">
        <v>1010</v>
      </c>
      <c r="C288" s="7" t="s">
        <v>1053</v>
      </c>
      <c r="D288" s="7" t="s">
        <v>1054</v>
      </c>
      <c r="E288" s="7" t="s">
        <v>1055</v>
      </c>
      <c r="F288" s="7" t="s">
        <v>59</v>
      </c>
      <c r="G288" s="7"/>
      <c r="H288" s="7"/>
      <c r="I288" s="7" t="s">
        <v>81</v>
      </c>
      <c r="J288" s="8" t="s">
        <v>55</v>
      </c>
      <c r="K288" s="9" t="n">
        <v>0</v>
      </c>
      <c r="L288" s="10"/>
      <c r="M288" s="8"/>
      <c r="N288" s="8"/>
    </row>
    <row r="289" customFormat="false" ht="23.25" hidden="false" customHeight="true" outlineLevel="0" collapsed="false">
      <c r="A289" s="7" t="s">
        <v>1056</v>
      </c>
      <c r="B289" s="7" t="s">
        <v>1010</v>
      </c>
      <c r="C289" s="7" t="s">
        <v>1057</v>
      </c>
      <c r="D289" s="7" t="s">
        <v>1058</v>
      </c>
      <c r="E289" s="7" t="s">
        <v>1059</v>
      </c>
      <c r="F289" s="7" t="s">
        <v>59</v>
      </c>
      <c r="G289" s="7"/>
      <c r="H289" s="7"/>
      <c r="I289" s="7" t="s">
        <v>81</v>
      </c>
      <c r="J289" s="8" t="s">
        <v>55</v>
      </c>
      <c r="K289" s="9" t="n">
        <v>0</v>
      </c>
      <c r="L289" s="10"/>
      <c r="M289" s="8"/>
      <c r="N289" s="8"/>
    </row>
    <row r="290" customFormat="false" ht="23.25" hidden="false" customHeight="true" outlineLevel="0" collapsed="false">
      <c r="A290" s="7" t="s">
        <v>1060</v>
      </c>
      <c r="B290" s="7" t="s">
        <v>1010</v>
      </c>
      <c r="C290" s="7" t="s">
        <v>1061</v>
      </c>
      <c r="D290" s="7" t="s">
        <v>1062</v>
      </c>
      <c r="E290" s="7" t="s">
        <v>1059</v>
      </c>
      <c r="F290" s="7" t="s">
        <v>59</v>
      </c>
      <c r="G290" s="7"/>
      <c r="H290" s="7"/>
      <c r="I290" s="7" t="s">
        <v>81</v>
      </c>
      <c r="J290" s="8" t="s">
        <v>55</v>
      </c>
      <c r="K290" s="9" t="n">
        <v>0</v>
      </c>
      <c r="L290" s="10"/>
      <c r="M290" s="8"/>
      <c r="N290" s="8"/>
    </row>
  </sheetData>
  <autoFilter ref="A1:N290"/>
  <conditionalFormatting sqref="J2:J500">
    <cfRule type="cellIs" priority="2" operator="equal" aboveAverage="0" equalAverage="0" bottom="0" percent="0" rank="0" text="" dxfId="4">
      <formula>"Concluída"</formula>
    </cfRule>
    <cfRule type="cellIs" priority="3" operator="equal" aboveAverage="0" equalAverage="0" bottom="0" percent="0" rank="0" text="" dxfId="5">
      <formula>"Em andamento"</formula>
    </cfRule>
    <cfRule type="cellIs" priority="4" operator="equal" aboveAverage="0" equalAverage="0" bottom="0" percent="0" rank="0" text="" dxfId="6">
      <formula>"Sem dados"</formula>
    </cfRule>
  </conditionalFormatting>
  <dataValidations count="3">
    <dataValidation allowBlank="false" errorStyle="stop" operator="between" showDropDown="false" showErrorMessage="false" showInputMessage="false" sqref="J2:J500" type="list">
      <formula1>"Não iniciada,Em andamento,Concluída,Sem dados"</formula1>
      <formula2>0</formula2>
    </dataValidation>
    <dataValidation allowBlank="false" errorStyle="stop" operator="between" showDropDown="false" showErrorMessage="false" showInputMessage="false" sqref="F2:F500" type="list">
      <formula1>"Meta numérica,Marco verificável,Diretriz (sem meta)"</formula1>
      <formula2>0</formula2>
    </dataValidation>
    <dataValidation allowBlank="false" error="Use um valor entre 0% e 100%." errorStyle="stop" errorTitle="Valor inválido" operator="between" showDropDown="false" showErrorMessage="true" showInputMessage="false" sqref="K2:K50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5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60"/>
    <col collapsed="false" customWidth="true" hidden="false" outlineLevel="0" max="10" min="10" style="1" width="34"/>
    <col collapsed="false" customWidth="true" hidden="false" outlineLevel="0" max="11" min="11" style="1" width="14"/>
    <col collapsed="false" customWidth="true" hidden="false" outlineLevel="0" max="12" min="12" style="1" width="60"/>
    <col collapsed="false" customWidth="true" hidden="false" outlineLevel="0" max="13" min="13" style="1" width="14"/>
    <col collapsed="false" customWidth="true" hidden="false" outlineLevel="0" max="14" min="14" style="1" width="13"/>
  </cols>
  <sheetData>
    <row r="1" customFormat="false" ht="31.5" hidden="false" customHeight="true" outlineLevel="0" collapsed="false">
      <c r="A1" s="11" t="s">
        <v>35</v>
      </c>
      <c r="B1" s="11" t="s">
        <v>1063</v>
      </c>
      <c r="C1" s="11" t="s">
        <v>1064</v>
      </c>
      <c r="D1" s="11" t="s">
        <v>1065</v>
      </c>
      <c r="E1" s="11" t="s">
        <v>37</v>
      </c>
      <c r="F1" s="11" t="s">
        <v>1066</v>
      </c>
      <c r="G1" s="11" t="s">
        <v>39</v>
      </c>
      <c r="H1" s="11" t="s">
        <v>43</v>
      </c>
      <c r="I1" s="11" t="s">
        <v>1067</v>
      </c>
      <c r="J1" s="11" t="s">
        <v>1068</v>
      </c>
      <c r="K1" s="11" t="s">
        <v>1069</v>
      </c>
      <c r="L1" s="11" t="s">
        <v>1070</v>
      </c>
      <c r="M1" s="11" t="s">
        <v>1071</v>
      </c>
      <c r="N1" s="11" t="s">
        <v>1072</v>
      </c>
    </row>
    <row r="2" customFormat="false" ht="23.25" hidden="false" customHeight="true" outlineLevel="0" collapsed="false">
      <c r="A2" s="12" t="s">
        <v>1073</v>
      </c>
      <c r="B2" s="13" t="s">
        <v>1074</v>
      </c>
      <c r="C2" s="12" t="n">
        <v>17</v>
      </c>
      <c r="D2" s="12" t="s">
        <v>49</v>
      </c>
      <c r="E2" s="12" t="s">
        <v>1075</v>
      </c>
      <c r="F2" s="12" t="s">
        <v>1076</v>
      </c>
      <c r="G2" s="12" t="s">
        <v>59</v>
      </c>
      <c r="H2" s="14" t="s">
        <v>1077</v>
      </c>
      <c r="I2" s="14" t="s">
        <v>1078</v>
      </c>
      <c r="J2" s="14"/>
      <c r="K2" s="14"/>
      <c r="L2" s="14"/>
      <c r="M2" s="14"/>
      <c r="N2" s="12" t="s">
        <v>1079</v>
      </c>
    </row>
    <row r="3" customFormat="false" ht="23.25" hidden="false" customHeight="true" outlineLevel="0" collapsed="false">
      <c r="A3" s="12" t="s">
        <v>1080</v>
      </c>
      <c r="B3" s="13" t="s">
        <v>1081</v>
      </c>
      <c r="C3" s="12" t="n">
        <v>18</v>
      </c>
      <c r="D3" s="12" t="s">
        <v>49</v>
      </c>
      <c r="E3" s="12" t="s">
        <v>57</v>
      </c>
      <c r="F3" s="12" t="s">
        <v>1082</v>
      </c>
      <c r="G3" s="12" t="s">
        <v>59</v>
      </c>
      <c r="H3" s="14" t="s">
        <v>1077</v>
      </c>
      <c r="I3" s="14" t="s">
        <v>1078</v>
      </c>
      <c r="J3" s="14"/>
      <c r="K3" s="14"/>
      <c r="L3" s="14"/>
      <c r="M3" s="14"/>
      <c r="N3" s="12" t="s">
        <v>1079</v>
      </c>
    </row>
    <row r="4" customFormat="false" ht="15" hidden="false" customHeight="true" outlineLevel="0" collapsed="false">
      <c r="A4" s="12" t="s">
        <v>1083</v>
      </c>
      <c r="B4" s="13" t="s">
        <v>1084</v>
      </c>
      <c r="C4" s="12" t="n">
        <v>18</v>
      </c>
      <c r="D4" s="12" t="s">
        <v>49</v>
      </c>
      <c r="E4" s="12" t="s">
        <v>50</v>
      </c>
      <c r="F4" s="12" t="s">
        <v>1085</v>
      </c>
      <c r="G4" s="12" t="s">
        <v>53</v>
      </c>
      <c r="H4" s="14" t="s">
        <v>1077</v>
      </c>
      <c r="I4" s="14" t="s">
        <v>1086</v>
      </c>
      <c r="J4" s="14"/>
      <c r="K4" s="14"/>
      <c r="L4" s="14"/>
      <c r="M4" s="14"/>
      <c r="N4" s="12" t="s">
        <v>1079</v>
      </c>
    </row>
    <row r="5" customFormat="false" ht="15" hidden="false" customHeight="true" outlineLevel="0" collapsed="false">
      <c r="A5" s="12" t="s">
        <v>1087</v>
      </c>
      <c r="B5" s="13" t="s">
        <v>1088</v>
      </c>
      <c r="C5" s="12" t="n">
        <v>19</v>
      </c>
      <c r="D5" s="12" t="s">
        <v>49</v>
      </c>
      <c r="E5" s="12" t="s">
        <v>57</v>
      </c>
      <c r="F5" s="12" t="s">
        <v>1089</v>
      </c>
      <c r="G5" s="12" t="s">
        <v>53</v>
      </c>
      <c r="H5" s="14" t="s">
        <v>1090</v>
      </c>
      <c r="I5" s="14" t="s">
        <v>1091</v>
      </c>
      <c r="J5" s="14" t="s">
        <v>1092</v>
      </c>
      <c r="K5" s="14" t="s">
        <v>1093</v>
      </c>
      <c r="L5" s="14" t="s">
        <v>1094</v>
      </c>
      <c r="M5" s="14" t="s">
        <v>1095</v>
      </c>
      <c r="N5" s="12" t="s">
        <v>1079</v>
      </c>
    </row>
    <row r="6" customFormat="false" ht="23.25" hidden="false" customHeight="true" outlineLevel="0" collapsed="false">
      <c r="A6" s="12" t="s">
        <v>1096</v>
      </c>
      <c r="B6" s="13" t="s">
        <v>1097</v>
      </c>
      <c r="C6" s="12" t="n">
        <v>19</v>
      </c>
      <c r="D6" s="12" t="s">
        <v>49</v>
      </c>
      <c r="E6" s="12" t="s">
        <v>57</v>
      </c>
      <c r="F6" s="12" t="s">
        <v>1098</v>
      </c>
      <c r="G6" s="12" t="s">
        <v>53</v>
      </c>
      <c r="H6" s="14" t="s">
        <v>1077</v>
      </c>
      <c r="I6" s="14" t="s">
        <v>1078</v>
      </c>
      <c r="J6" s="14"/>
      <c r="K6" s="14"/>
      <c r="L6" s="14"/>
      <c r="M6" s="14"/>
      <c r="N6" s="12" t="s">
        <v>1079</v>
      </c>
    </row>
    <row r="7" customFormat="false" ht="23.25" hidden="false" customHeight="true" outlineLevel="0" collapsed="false">
      <c r="A7" s="12" t="s">
        <v>1099</v>
      </c>
      <c r="B7" s="13" t="s">
        <v>1100</v>
      </c>
      <c r="C7" s="12" t="n">
        <v>19</v>
      </c>
      <c r="D7" s="12" t="s">
        <v>49</v>
      </c>
      <c r="E7" s="12" t="s">
        <v>114</v>
      </c>
      <c r="F7" s="12" t="s">
        <v>1101</v>
      </c>
      <c r="G7" s="12" t="s">
        <v>59</v>
      </c>
      <c r="H7" s="14" t="s">
        <v>1077</v>
      </c>
      <c r="I7" s="14" t="s">
        <v>1078</v>
      </c>
      <c r="J7" s="14"/>
      <c r="K7" s="14"/>
      <c r="L7" s="14"/>
      <c r="M7" s="14"/>
      <c r="N7" s="12" t="s">
        <v>1079</v>
      </c>
    </row>
    <row r="8" customFormat="false" ht="15" hidden="false" customHeight="true" outlineLevel="0" collapsed="false">
      <c r="A8" s="12" t="s">
        <v>1102</v>
      </c>
      <c r="B8" s="13" t="s">
        <v>1103</v>
      </c>
      <c r="C8" s="12" t="n">
        <v>19</v>
      </c>
      <c r="D8" s="12" t="s">
        <v>49</v>
      </c>
      <c r="E8" s="12" t="s">
        <v>118</v>
      </c>
      <c r="F8" s="12" t="s">
        <v>1104</v>
      </c>
      <c r="G8" s="12" t="s">
        <v>59</v>
      </c>
      <c r="H8" s="14" t="s">
        <v>1077</v>
      </c>
      <c r="I8" s="14" t="s">
        <v>1078</v>
      </c>
      <c r="J8" s="14"/>
      <c r="K8" s="14"/>
      <c r="L8" s="14"/>
      <c r="M8" s="14"/>
      <c r="N8" s="12" t="s">
        <v>1079</v>
      </c>
    </row>
    <row r="9" customFormat="false" ht="23.25" hidden="false" customHeight="true" outlineLevel="0" collapsed="false">
      <c r="A9" s="12" t="s">
        <v>1105</v>
      </c>
      <c r="B9" s="13" t="s">
        <v>1106</v>
      </c>
      <c r="C9" s="12" t="n">
        <v>19</v>
      </c>
      <c r="D9" s="12" t="s">
        <v>49</v>
      </c>
      <c r="E9" s="12" t="s">
        <v>122</v>
      </c>
      <c r="F9" s="12" t="s">
        <v>1107</v>
      </c>
      <c r="G9" s="12" t="s">
        <v>59</v>
      </c>
      <c r="H9" s="14" t="s">
        <v>1077</v>
      </c>
      <c r="I9" s="14" t="s">
        <v>1078</v>
      </c>
      <c r="J9" s="14"/>
      <c r="K9" s="14"/>
      <c r="L9" s="14"/>
      <c r="M9" s="14"/>
      <c r="N9" s="12" t="s">
        <v>1079</v>
      </c>
    </row>
    <row r="10" customFormat="false" ht="15" hidden="false" customHeight="true" outlineLevel="0" collapsed="false">
      <c r="A10" s="12" t="s">
        <v>1108</v>
      </c>
      <c r="B10" s="13" t="s">
        <v>1109</v>
      </c>
      <c r="C10" s="12" t="n">
        <v>20</v>
      </c>
      <c r="D10" s="12" t="s">
        <v>49</v>
      </c>
      <c r="E10" s="12" t="s">
        <v>1110</v>
      </c>
      <c r="F10" s="12" t="s">
        <v>1111</v>
      </c>
      <c r="G10" s="12" t="s">
        <v>59</v>
      </c>
      <c r="H10" s="14" t="s">
        <v>1077</v>
      </c>
      <c r="I10" s="14" t="s">
        <v>1078</v>
      </c>
      <c r="J10" s="14"/>
      <c r="K10" s="14"/>
      <c r="L10" s="14"/>
      <c r="M10" s="14"/>
      <c r="N10" s="12" t="s">
        <v>1079</v>
      </c>
    </row>
    <row r="11" customFormat="false" ht="23.25" hidden="false" customHeight="true" outlineLevel="0" collapsed="false">
      <c r="A11" s="12" t="s">
        <v>1112</v>
      </c>
      <c r="B11" s="13" t="s">
        <v>1113</v>
      </c>
      <c r="C11" s="12" t="n">
        <v>20</v>
      </c>
      <c r="D11" s="12" t="s">
        <v>49</v>
      </c>
      <c r="E11" s="12" t="s">
        <v>83</v>
      </c>
      <c r="F11" s="12" t="s">
        <v>1114</v>
      </c>
      <c r="G11" s="12" t="s">
        <v>59</v>
      </c>
      <c r="H11" s="14" t="s">
        <v>1077</v>
      </c>
      <c r="I11" s="14" t="s">
        <v>1078</v>
      </c>
      <c r="J11" s="14"/>
      <c r="K11" s="14"/>
      <c r="L11" s="14"/>
      <c r="M11" s="14"/>
      <c r="N11" s="12" t="s">
        <v>1079</v>
      </c>
    </row>
    <row r="12" customFormat="false" ht="34.5" hidden="false" customHeight="true" outlineLevel="0" collapsed="false">
      <c r="A12" s="12" t="s">
        <v>1115</v>
      </c>
      <c r="B12" s="13" t="s">
        <v>1116</v>
      </c>
      <c r="C12" s="12" t="n">
        <v>20</v>
      </c>
      <c r="D12" s="12" t="s">
        <v>49</v>
      </c>
      <c r="E12" s="12" t="s">
        <v>1117</v>
      </c>
      <c r="F12" s="12" t="s">
        <v>1118</v>
      </c>
      <c r="G12" s="12" t="s">
        <v>53</v>
      </c>
      <c r="H12" s="14" t="s">
        <v>1077</v>
      </c>
      <c r="I12" s="14" t="s">
        <v>1078</v>
      </c>
      <c r="J12" s="14"/>
      <c r="K12" s="14"/>
      <c r="L12" s="14"/>
      <c r="M12" s="14"/>
      <c r="N12" s="12" t="s">
        <v>1079</v>
      </c>
    </row>
    <row r="13" customFormat="false" ht="23.25" hidden="false" customHeight="true" outlineLevel="0" collapsed="false">
      <c r="A13" s="12" t="s">
        <v>1119</v>
      </c>
      <c r="B13" s="13" t="s">
        <v>1120</v>
      </c>
      <c r="C13" s="12" t="n">
        <v>20</v>
      </c>
      <c r="D13" s="12" t="s">
        <v>49</v>
      </c>
      <c r="E13" s="12" t="s">
        <v>74</v>
      </c>
      <c r="F13" s="12" t="s">
        <v>1121</v>
      </c>
      <c r="G13" s="12" t="s">
        <v>59</v>
      </c>
      <c r="H13" s="14" t="s">
        <v>372</v>
      </c>
      <c r="I13" s="14" t="s">
        <v>1122</v>
      </c>
      <c r="J13" s="14" t="s">
        <v>1123</v>
      </c>
      <c r="K13" s="14" t="s">
        <v>1124</v>
      </c>
      <c r="L13" s="14" t="s">
        <v>1125</v>
      </c>
      <c r="M13" s="14" t="s">
        <v>1126</v>
      </c>
      <c r="N13" s="12" t="s">
        <v>1079</v>
      </c>
    </row>
    <row r="14" customFormat="false" ht="23.25" hidden="false" customHeight="true" outlineLevel="0" collapsed="false">
      <c r="A14" s="12" t="s">
        <v>1127</v>
      </c>
      <c r="B14" s="13" t="s">
        <v>1128</v>
      </c>
      <c r="C14" s="12" t="n">
        <v>20</v>
      </c>
      <c r="D14" s="12" t="s">
        <v>49</v>
      </c>
      <c r="E14" s="12" t="s">
        <v>1124</v>
      </c>
      <c r="F14" s="12" t="s">
        <v>1129</v>
      </c>
      <c r="G14" s="12" t="s">
        <v>59</v>
      </c>
      <c r="H14" s="14" t="s">
        <v>1077</v>
      </c>
      <c r="I14" s="14" t="s">
        <v>1078</v>
      </c>
      <c r="J14" s="14"/>
      <c r="K14" s="14"/>
      <c r="L14" s="14"/>
      <c r="M14" s="14"/>
      <c r="N14" s="12" t="s">
        <v>1079</v>
      </c>
    </row>
    <row r="15" customFormat="false" ht="23.25" hidden="false" customHeight="true" outlineLevel="0" collapsed="false">
      <c r="A15" s="12" t="s">
        <v>1130</v>
      </c>
      <c r="B15" s="13" t="s">
        <v>135</v>
      </c>
      <c r="C15" s="12" t="n">
        <v>5</v>
      </c>
      <c r="D15" s="12" t="s">
        <v>128</v>
      </c>
      <c r="E15" s="12" t="s">
        <v>236</v>
      </c>
      <c r="F15" s="12" t="s">
        <v>1131</v>
      </c>
      <c r="G15" s="12" t="s">
        <v>59</v>
      </c>
      <c r="H15" s="14" t="s">
        <v>1077</v>
      </c>
      <c r="I15" s="14" t="s">
        <v>1078</v>
      </c>
      <c r="J15" s="14"/>
      <c r="K15" s="14"/>
      <c r="L15" s="14"/>
      <c r="M15" s="14"/>
      <c r="N15" s="12" t="s">
        <v>1079</v>
      </c>
    </row>
    <row r="16" customFormat="false" ht="15" hidden="false" customHeight="true" outlineLevel="0" collapsed="false">
      <c r="A16" s="12" t="s">
        <v>1132</v>
      </c>
      <c r="B16" s="13" t="s">
        <v>143</v>
      </c>
      <c r="C16" s="12" t="n">
        <v>5</v>
      </c>
      <c r="D16" s="12" t="s">
        <v>128</v>
      </c>
      <c r="E16" s="12" t="s">
        <v>236</v>
      </c>
      <c r="F16" s="12" t="s">
        <v>1133</v>
      </c>
      <c r="G16" s="12" t="s">
        <v>53</v>
      </c>
      <c r="H16" s="14" t="s">
        <v>1090</v>
      </c>
      <c r="I16" s="14" t="s">
        <v>1134</v>
      </c>
      <c r="J16" s="14" t="s">
        <v>1135</v>
      </c>
      <c r="K16" s="14" t="s">
        <v>1093</v>
      </c>
      <c r="L16" s="14" t="s">
        <v>1136</v>
      </c>
      <c r="M16" s="14" t="s">
        <v>1137</v>
      </c>
      <c r="N16" s="12" t="s">
        <v>1079</v>
      </c>
    </row>
    <row r="17" customFormat="false" ht="15" hidden="false" customHeight="true" outlineLevel="0" collapsed="false">
      <c r="A17" s="12" t="s">
        <v>1138</v>
      </c>
      <c r="B17" s="13" t="s">
        <v>425</v>
      </c>
      <c r="C17" s="12" t="n">
        <v>8</v>
      </c>
      <c r="D17" s="12" t="s">
        <v>128</v>
      </c>
      <c r="E17" s="12" t="s">
        <v>168</v>
      </c>
      <c r="F17" s="12" t="s">
        <v>1139</v>
      </c>
      <c r="G17" s="12" t="s">
        <v>53</v>
      </c>
      <c r="H17" s="14" t="s">
        <v>1090</v>
      </c>
      <c r="I17" s="14" t="s">
        <v>1140</v>
      </c>
      <c r="J17" s="14" t="s">
        <v>1135</v>
      </c>
      <c r="K17" s="14" t="s">
        <v>1093</v>
      </c>
      <c r="L17" s="14" t="s">
        <v>1141</v>
      </c>
      <c r="M17" s="14" t="s">
        <v>1142</v>
      </c>
      <c r="N17" s="12" t="s">
        <v>1079</v>
      </c>
    </row>
    <row r="18" customFormat="false" ht="23.25" hidden="false" customHeight="true" outlineLevel="0" collapsed="false">
      <c r="A18" s="12" t="s">
        <v>1143</v>
      </c>
      <c r="B18" s="13" t="s">
        <v>447</v>
      </c>
      <c r="C18" s="12" t="n">
        <v>8</v>
      </c>
      <c r="D18" s="12" t="s">
        <v>128</v>
      </c>
      <c r="E18" s="12" t="s">
        <v>168</v>
      </c>
      <c r="F18" s="12" t="s">
        <v>1144</v>
      </c>
      <c r="G18" s="12" t="s">
        <v>59</v>
      </c>
      <c r="H18" s="14" t="s">
        <v>372</v>
      </c>
      <c r="I18" s="14" t="s">
        <v>1145</v>
      </c>
      <c r="J18" s="14" t="s">
        <v>1146</v>
      </c>
      <c r="K18" s="14" t="s">
        <v>1124</v>
      </c>
      <c r="L18" s="14" t="s">
        <v>1147</v>
      </c>
      <c r="M18" s="14" t="s">
        <v>1126</v>
      </c>
      <c r="N18" s="12" t="s">
        <v>1079</v>
      </c>
    </row>
    <row r="19" customFormat="false" ht="23.25" hidden="false" customHeight="true" outlineLevel="0" collapsed="false">
      <c r="A19" s="12" t="s">
        <v>1148</v>
      </c>
      <c r="B19" s="13" t="s">
        <v>457</v>
      </c>
      <c r="C19" s="12" t="n">
        <v>8</v>
      </c>
      <c r="D19" s="12" t="s">
        <v>128</v>
      </c>
      <c r="E19" s="12" t="s">
        <v>133</v>
      </c>
      <c r="F19" s="12" t="s">
        <v>1149</v>
      </c>
      <c r="G19" s="12" t="s">
        <v>59</v>
      </c>
      <c r="H19" s="14" t="s">
        <v>372</v>
      </c>
      <c r="I19" s="14" t="s">
        <v>1150</v>
      </c>
      <c r="J19" s="14" t="s">
        <v>1135</v>
      </c>
      <c r="K19" s="14" t="s">
        <v>1093</v>
      </c>
      <c r="L19" s="14" t="s">
        <v>1151</v>
      </c>
      <c r="M19" s="14" t="s">
        <v>1137</v>
      </c>
      <c r="N19" s="12" t="s">
        <v>1079</v>
      </c>
    </row>
    <row r="20" customFormat="false" ht="23.25" hidden="false" customHeight="true" outlineLevel="0" collapsed="false">
      <c r="A20" s="12" t="s">
        <v>1152</v>
      </c>
      <c r="B20" s="13" t="s">
        <v>481</v>
      </c>
      <c r="C20" s="12" t="n">
        <v>8</v>
      </c>
      <c r="D20" s="12" t="s">
        <v>128</v>
      </c>
      <c r="E20" s="12" t="s">
        <v>133</v>
      </c>
      <c r="F20" s="12" t="s">
        <v>1153</v>
      </c>
      <c r="G20" s="12" t="s">
        <v>53</v>
      </c>
      <c r="H20" s="14" t="s">
        <v>1090</v>
      </c>
      <c r="I20" s="14" t="s">
        <v>1154</v>
      </c>
      <c r="J20" s="14" t="s">
        <v>1155</v>
      </c>
      <c r="K20" s="14" t="s">
        <v>1093</v>
      </c>
      <c r="L20" s="14" t="s">
        <v>1156</v>
      </c>
      <c r="M20" s="14" t="s">
        <v>1157</v>
      </c>
      <c r="N20" s="12" t="s">
        <v>1079</v>
      </c>
    </row>
    <row r="21" customFormat="false" ht="23.25" hidden="false" customHeight="true" outlineLevel="0" collapsed="false">
      <c r="A21" s="12" t="s">
        <v>1158</v>
      </c>
      <c r="B21" s="13" t="s">
        <v>1159</v>
      </c>
      <c r="C21" s="12" t="n">
        <v>8</v>
      </c>
      <c r="D21" s="12" t="s">
        <v>128</v>
      </c>
      <c r="E21" s="12" t="s">
        <v>153</v>
      </c>
      <c r="F21" s="12" t="s">
        <v>1160</v>
      </c>
      <c r="G21" s="12" t="s">
        <v>59</v>
      </c>
      <c r="H21" s="14" t="s">
        <v>372</v>
      </c>
      <c r="I21" s="14" t="s">
        <v>1161</v>
      </c>
      <c r="J21" s="14" t="s">
        <v>1162</v>
      </c>
      <c r="K21" s="14" t="s">
        <v>1163</v>
      </c>
      <c r="L21" s="14" t="s">
        <v>1164</v>
      </c>
      <c r="M21" s="14" t="s">
        <v>1165</v>
      </c>
      <c r="N21" s="12" t="s">
        <v>1079</v>
      </c>
    </row>
    <row r="22" customFormat="false" ht="23.25" hidden="false" customHeight="true" outlineLevel="0" collapsed="false">
      <c r="A22" s="12" t="s">
        <v>1166</v>
      </c>
      <c r="B22" s="13" t="s">
        <v>499</v>
      </c>
      <c r="C22" s="12" t="n">
        <v>9</v>
      </c>
      <c r="D22" s="12" t="s">
        <v>128</v>
      </c>
      <c r="E22" s="12" t="s">
        <v>1167</v>
      </c>
      <c r="F22" s="12" t="s">
        <v>1168</v>
      </c>
      <c r="G22" s="12" t="s">
        <v>59</v>
      </c>
      <c r="H22" s="14" t="s">
        <v>1077</v>
      </c>
      <c r="I22" s="14" t="s">
        <v>1078</v>
      </c>
      <c r="J22" s="14"/>
      <c r="K22" s="14"/>
      <c r="L22" s="14"/>
      <c r="M22" s="14"/>
      <c r="N22" s="12" t="s">
        <v>1079</v>
      </c>
    </row>
    <row r="23" customFormat="false" ht="34.5" hidden="false" customHeight="true" outlineLevel="0" collapsed="false">
      <c r="A23" s="12" t="s">
        <v>1169</v>
      </c>
      <c r="B23" s="13" t="s">
        <v>513</v>
      </c>
      <c r="C23" s="12" t="n">
        <v>9</v>
      </c>
      <c r="D23" s="12" t="s">
        <v>128</v>
      </c>
      <c r="E23" s="12" t="s">
        <v>223</v>
      </c>
      <c r="F23" s="12" t="s">
        <v>1170</v>
      </c>
      <c r="G23" s="12" t="s">
        <v>59</v>
      </c>
      <c r="H23" s="14" t="s">
        <v>372</v>
      </c>
      <c r="I23" s="14" t="s">
        <v>1171</v>
      </c>
      <c r="J23" s="14" t="s">
        <v>1135</v>
      </c>
      <c r="K23" s="14" t="s">
        <v>1093</v>
      </c>
      <c r="L23" s="14" t="s">
        <v>1172</v>
      </c>
      <c r="M23" s="14" t="s">
        <v>1173</v>
      </c>
      <c r="N23" s="12" t="s">
        <v>1079</v>
      </c>
    </row>
    <row r="24" customFormat="false" ht="23.25" hidden="false" customHeight="true" outlineLevel="0" collapsed="false">
      <c r="A24" s="12" t="s">
        <v>1174</v>
      </c>
      <c r="B24" s="13" t="s">
        <v>532</v>
      </c>
      <c r="C24" s="12" t="n">
        <v>9</v>
      </c>
      <c r="D24" s="12" t="s">
        <v>128</v>
      </c>
      <c r="E24" s="12" t="s">
        <v>203</v>
      </c>
      <c r="F24" s="12" t="s">
        <v>1175</v>
      </c>
      <c r="G24" s="12" t="s">
        <v>59</v>
      </c>
      <c r="H24" s="14" t="s">
        <v>372</v>
      </c>
      <c r="I24" s="14" t="s">
        <v>1176</v>
      </c>
      <c r="J24" s="14" t="s">
        <v>1135</v>
      </c>
      <c r="K24" s="14" t="s">
        <v>1093</v>
      </c>
      <c r="L24" s="14" t="s">
        <v>1177</v>
      </c>
      <c r="M24" s="14" t="s">
        <v>1178</v>
      </c>
      <c r="N24" s="12" t="s">
        <v>1079</v>
      </c>
    </row>
    <row r="25" customFormat="false" ht="23.25" hidden="false" customHeight="true" outlineLevel="0" collapsed="false">
      <c r="A25" s="12" t="s">
        <v>1179</v>
      </c>
      <c r="B25" s="13" t="s">
        <v>552</v>
      </c>
      <c r="C25" s="12" t="n">
        <v>9</v>
      </c>
      <c r="D25" s="12" t="s">
        <v>128</v>
      </c>
      <c r="E25" s="12" t="s">
        <v>1180</v>
      </c>
      <c r="F25" s="12" t="s">
        <v>1181</v>
      </c>
      <c r="G25" s="12" t="s">
        <v>59</v>
      </c>
      <c r="H25" s="14" t="s">
        <v>1077</v>
      </c>
      <c r="I25" s="14" t="s">
        <v>1078</v>
      </c>
      <c r="J25" s="14"/>
      <c r="K25" s="14"/>
      <c r="L25" s="14"/>
      <c r="M25" s="14"/>
      <c r="N25" s="12" t="s">
        <v>1079</v>
      </c>
    </row>
    <row r="26" customFormat="false" ht="23.25" hidden="false" customHeight="true" outlineLevel="0" collapsed="false">
      <c r="A26" s="12" t="s">
        <v>1182</v>
      </c>
      <c r="B26" s="13" t="s">
        <v>558</v>
      </c>
      <c r="C26" s="12" t="n">
        <v>10</v>
      </c>
      <c r="D26" s="12" t="s">
        <v>128</v>
      </c>
      <c r="E26" s="12" t="s">
        <v>1183</v>
      </c>
      <c r="F26" s="12" t="s">
        <v>1184</v>
      </c>
      <c r="G26" s="12" t="s">
        <v>59</v>
      </c>
      <c r="H26" s="14" t="s">
        <v>372</v>
      </c>
      <c r="I26" s="14" t="s">
        <v>1185</v>
      </c>
      <c r="J26" s="14" t="s">
        <v>1135</v>
      </c>
      <c r="K26" s="14" t="s">
        <v>1093</v>
      </c>
      <c r="L26" s="14" t="s">
        <v>1186</v>
      </c>
      <c r="M26" s="14" t="s">
        <v>1187</v>
      </c>
      <c r="N26" s="12" t="s">
        <v>1079</v>
      </c>
    </row>
    <row r="27" customFormat="false" ht="23.25" hidden="false" customHeight="true" outlineLevel="0" collapsed="false">
      <c r="A27" s="12" t="s">
        <v>1188</v>
      </c>
      <c r="B27" s="13" t="s">
        <v>579</v>
      </c>
      <c r="C27" s="12" t="n">
        <v>10</v>
      </c>
      <c r="D27" s="12" t="s">
        <v>128</v>
      </c>
      <c r="E27" s="12" t="s">
        <v>1189</v>
      </c>
      <c r="F27" s="12" t="s">
        <v>1190</v>
      </c>
      <c r="G27" s="12" t="s">
        <v>59</v>
      </c>
      <c r="H27" s="14" t="s">
        <v>1077</v>
      </c>
      <c r="I27" s="14" t="s">
        <v>1078</v>
      </c>
      <c r="J27" s="14"/>
      <c r="K27" s="14"/>
      <c r="L27" s="14"/>
      <c r="M27" s="14"/>
      <c r="N27" s="12" t="s">
        <v>1079</v>
      </c>
    </row>
    <row r="28" customFormat="false" ht="23.25" hidden="false" customHeight="true" outlineLevel="0" collapsed="false">
      <c r="A28" s="12" t="s">
        <v>1191</v>
      </c>
      <c r="B28" s="13" t="s">
        <v>316</v>
      </c>
      <c r="C28" s="12" t="n">
        <v>7</v>
      </c>
      <c r="D28" s="12" t="s">
        <v>251</v>
      </c>
      <c r="E28" s="12" t="s">
        <v>1192</v>
      </c>
      <c r="F28" s="12" t="s">
        <v>1193</v>
      </c>
      <c r="G28" s="12" t="s">
        <v>59</v>
      </c>
      <c r="H28" s="14" t="s">
        <v>1077</v>
      </c>
      <c r="I28" s="14" t="s">
        <v>1078</v>
      </c>
      <c r="J28" s="14"/>
      <c r="K28" s="14"/>
      <c r="L28" s="14"/>
      <c r="M28" s="14"/>
      <c r="N28" s="12" t="s">
        <v>1079</v>
      </c>
    </row>
    <row r="29" customFormat="false" ht="23.25" hidden="false" customHeight="true" outlineLevel="0" collapsed="false">
      <c r="A29" s="12" t="s">
        <v>1194</v>
      </c>
      <c r="B29" s="13" t="s">
        <v>343</v>
      </c>
      <c r="C29" s="12" t="n">
        <v>7</v>
      </c>
      <c r="D29" s="12" t="s">
        <v>251</v>
      </c>
      <c r="E29" s="12" t="s">
        <v>1192</v>
      </c>
      <c r="F29" s="12" t="s">
        <v>1195</v>
      </c>
      <c r="G29" s="12" t="s">
        <v>59</v>
      </c>
      <c r="H29" s="14" t="s">
        <v>372</v>
      </c>
      <c r="I29" s="14" t="s">
        <v>1196</v>
      </c>
      <c r="J29" s="14" t="s">
        <v>1197</v>
      </c>
      <c r="K29" s="14" t="s">
        <v>1124</v>
      </c>
      <c r="L29" s="14" t="s">
        <v>1198</v>
      </c>
      <c r="M29" s="14" t="s">
        <v>1199</v>
      </c>
      <c r="N29" s="12" t="s">
        <v>1079</v>
      </c>
    </row>
    <row r="30" customFormat="false" ht="34.5" hidden="false" customHeight="true" outlineLevel="0" collapsed="false">
      <c r="A30" s="12" t="s">
        <v>1200</v>
      </c>
      <c r="B30" s="13" t="s">
        <v>367</v>
      </c>
      <c r="C30" s="12" t="n">
        <v>7</v>
      </c>
      <c r="D30" s="12" t="s">
        <v>251</v>
      </c>
      <c r="E30" s="12" t="s">
        <v>1192</v>
      </c>
      <c r="F30" s="12" t="s">
        <v>1201</v>
      </c>
      <c r="G30" s="12" t="s">
        <v>59</v>
      </c>
      <c r="H30" s="14" t="s">
        <v>1077</v>
      </c>
      <c r="I30" s="14" t="s">
        <v>1078</v>
      </c>
      <c r="J30" s="14"/>
      <c r="K30" s="14"/>
      <c r="L30" s="14"/>
      <c r="M30" s="14"/>
      <c r="N30" s="12" t="s">
        <v>1079</v>
      </c>
    </row>
    <row r="31" customFormat="false" ht="23.25" hidden="false" customHeight="true" outlineLevel="0" collapsed="false">
      <c r="A31" s="12" t="s">
        <v>1202</v>
      </c>
      <c r="B31" s="13" t="s">
        <v>389</v>
      </c>
      <c r="C31" s="12" t="n">
        <v>7</v>
      </c>
      <c r="D31" s="12" t="s">
        <v>251</v>
      </c>
      <c r="E31" s="12" t="s">
        <v>1203</v>
      </c>
      <c r="F31" s="12" t="s">
        <v>1204</v>
      </c>
      <c r="G31" s="12" t="s">
        <v>59</v>
      </c>
      <c r="H31" s="14" t="s">
        <v>1077</v>
      </c>
      <c r="I31" s="14" t="s">
        <v>1086</v>
      </c>
      <c r="J31" s="14"/>
      <c r="K31" s="14"/>
      <c r="L31" s="14"/>
      <c r="M31" s="14"/>
      <c r="N31" s="12" t="s">
        <v>1079</v>
      </c>
    </row>
    <row r="32" customFormat="false" ht="23.25" hidden="false" customHeight="true" outlineLevel="0" collapsed="false">
      <c r="A32" s="12" t="s">
        <v>1205</v>
      </c>
      <c r="B32" s="13" t="s">
        <v>404</v>
      </c>
      <c r="C32" s="12" t="n">
        <v>8</v>
      </c>
      <c r="D32" s="12" t="s">
        <v>251</v>
      </c>
      <c r="E32" s="12" t="s">
        <v>1192</v>
      </c>
      <c r="F32" s="12" t="s">
        <v>1206</v>
      </c>
      <c r="G32" s="12" t="s">
        <v>59</v>
      </c>
      <c r="H32" s="14" t="s">
        <v>1077</v>
      </c>
      <c r="I32" s="14" t="s">
        <v>1078</v>
      </c>
      <c r="J32" s="14"/>
      <c r="K32" s="14"/>
      <c r="L32" s="14"/>
      <c r="M32" s="14"/>
      <c r="N32" s="12" t="s">
        <v>1079</v>
      </c>
    </row>
    <row r="33" customFormat="false" ht="23.25" hidden="false" customHeight="true" outlineLevel="0" collapsed="false">
      <c r="A33" s="12" t="s">
        <v>1207</v>
      </c>
      <c r="B33" s="13" t="s">
        <v>170</v>
      </c>
      <c r="C33" s="12" t="n">
        <v>5</v>
      </c>
      <c r="D33" s="12" t="s">
        <v>313</v>
      </c>
      <c r="E33" s="12" t="s">
        <v>1208</v>
      </c>
      <c r="F33" s="12" t="s">
        <v>1209</v>
      </c>
      <c r="G33" s="12" t="s">
        <v>53</v>
      </c>
      <c r="H33" s="14" t="s">
        <v>372</v>
      </c>
      <c r="I33" s="14" t="s">
        <v>1210</v>
      </c>
      <c r="J33" s="14" t="s">
        <v>1211</v>
      </c>
      <c r="K33" s="14" t="s">
        <v>1093</v>
      </c>
      <c r="L33" s="14" t="s">
        <v>1212</v>
      </c>
      <c r="M33" s="14" t="s">
        <v>1213</v>
      </c>
      <c r="N33" s="12" t="s">
        <v>1079</v>
      </c>
    </row>
    <row r="34" customFormat="false" ht="23.25" hidden="false" customHeight="true" outlineLevel="0" collapsed="false">
      <c r="A34" s="12" t="s">
        <v>1214</v>
      </c>
      <c r="B34" s="13" t="s">
        <v>189</v>
      </c>
      <c r="C34" s="12" t="n">
        <v>5</v>
      </c>
      <c r="D34" s="12" t="s">
        <v>313</v>
      </c>
      <c r="E34" s="12" t="s">
        <v>1215</v>
      </c>
      <c r="F34" s="12" t="s">
        <v>1216</v>
      </c>
      <c r="G34" s="12" t="s">
        <v>59</v>
      </c>
      <c r="H34" s="14" t="s">
        <v>372</v>
      </c>
      <c r="I34" s="14" t="s">
        <v>1217</v>
      </c>
      <c r="J34" s="14" t="s">
        <v>1135</v>
      </c>
      <c r="K34" s="14" t="s">
        <v>1093</v>
      </c>
      <c r="L34" s="14" t="s">
        <v>1218</v>
      </c>
      <c r="M34" s="14" t="s">
        <v>1219</v>
      </c>
      <c r="N34" s="12" t="s">
        <v>1079</v>
      </c>
    </row>
    <row r="35" customFormat="false" ht="23.25" hidden="false" customHeight="true" outlineLevel="0" collapsed="false">
      <c r="A35" s="12" t="s">
        <v>1220</v>
      </c>
      <c r="B35" s="13" t="s">
        <v>199</v>
      </c>
      <c r="C35" s="12" t="n">
        <v>6</v>
      </c>
      <c r="D35" s="12" t="s">
        <v>396</v>
      </c>
      <c r="E35" s="12" t="s">
        <v>1221</v>
      </c>
      <c r="F35" s="12" t="s">
        <v>1222</v>
      </c>
      <c r="G35" s="12" t="s">
        <v>59</v>
      </c>
      <c r="H35" s="14" t="s">
        <v>1077</v>
      </c>
      <c r="I35" s="14" t="s">
        <v>1078</v>
      </c>
      <c r="J35" s="14"/>
      <c r="K35" s="14"/>
      <c r="L35" s="14"/>
      <c r="M35" s="14"/>
      <c r="N35" s="12" t="s">
        <v>1079</v>
      </c>
    </row>
    <row r="36" customFormat="false" ht="15" hidden="false" customHeight="true" outlineLevel="0" collapsed="false">
      <c r="A36" s="12" t="s">
        <v>1223</v>
      </c>
      <c r="B36" s="13" t="s">
        <v>217</v>
      </c>
      <c r="C36" s="12" t="n">
        <v>6</v>
      </c>
      <c r="D36" s="12" t="s">
        <v>396</v>
      </c>
      <c r="E36" s="12" t="s">
        <v>1224</v>
      </c>
      <c r="F36" s="12" t="s">
        <v>1225</v>
      </c>
      <c r="G36" s="12" t="s">
        <v>53</v>
      </c>
      <c r="H36" s="14" t="s">
        <v>1090</v>
      </c>
      <c r="I36" s="14" t="s">
        <v>1226</v>
      </c>
      <c r="J36" s="14" t="s">
        <v>1135</v>
      </c>
      <c r="K36" s="14" t="s">
        <v>1093</v>
      </c>
      <c r="L36" s="14" t="s">
        <v>1227</v>
      </c>
      <c r="M36" s="14" t="s">
        <v>1228</v>
      </c>
      <c r="N36" s="12" t="s">
        <v>1079</v>
      </c>
    </row>
    <row r="37" customFormat="false" ht="23.25" hidden="false" customHeight="true" outlineLevel="0" collapsed="false">
      <c r="A37" s="12" t="s">
        <v>1229</v>
      </c>
      <c r="B37" s="13" t="s">
        <v>1230</v>
      </c>
      <c r="C37" s="12" t="n">
        <v>6</v>
      </c>
      <c r="D37" s="12" t="s">
        <v>396</v>
      </c>
      <c r="E37" s="12" t="s">
        <v>1224</v>
      </c>
      <c r="F37" s="12" t="s">
        <v>1231</v>
      </c>
      <c r="G37" s="12" t="s">
        <v>53</v>
      </c>
      <c r="H37" s="14" t="s">
        <v>1090</v>
      </c>
      <c r="I37" s="14" t="s">
        <v>1232</v>
      </c>
      <c r="J37" s="14" t="s">
        <v>1233</v>
      </c>
      <c r="K37" s="14" t="s">
        <v>1124</v>
      </c>
      <c r="L37" s="14" t="s">
        <v>1234</v>
      </c>
      <c r="M37" s="14" t="s">
        <v>1235</v>
      </c>
      <c r="N37" s="12" t="s">
        <v>1079</v>
      </c>
    </row>
    <row r="38" customFormat="false" ht="23.25" hidden="false" customHeight="true" outlineLevel="0" collapsed="false">
      <c r="A38" s="12" t="s">
        <v>1236</v>
      </c>
      <c r="B38" s="13" t="s">
        <v>232</v>
      </c>
      <c r="C38" s="12" t="n">
        <v>6</v>
      </c>
      <c r="D38" s="12" t="s">
        <v>492</v>
      </c>
      <c r="E38" s="12" t="s">
        <v>493</v>
      </c>
      <c r="F38" s="12" t="s">
        <v>1237</v>
      </c>
      <c r="G38" s="12" t="s">
        <v>59</v>
      </c>
      <c r="H38" s="14" t="s">
        <v>372</v>
      </c>
      <c r="I38" s="14" t="s">
        <v>1238</v>
      </c>
      <c r="J38" s="14" t="s">
        <v>1135</v>
      </c>
      <c r="K38" s="14" t="s">
        <v>1093</v>
      </c>
      <c r="L38" s="14" t="s">
        <v>1151</v>
      </c>
      <c r="M38" s="14" t="s">
        <v>1137</v>
      </c>
      <c r="N38" s="12" t="s">
        <v>1079</v>
      </c>
    </row>
    <row r="39" customFormat="false" ht="15" hidden="false" customHeight="true" outlineLevel="0" collapsed="false">
      <c r="A39" s="12" t="s">
        <v>1239</v>
      </c>
      <c r="B39" s="13" t="s">
        <v>245</v>
      </c>
      <c r="C39" s="12" t="n">
        <v>6</v>
      </c>
      <c r="D39" s="12" t="s">
        <v>492</v>
      </c>
      <c r="E39" s="12" t="s">
        <v>493</v>
      </c>
      <c r="F39" s="12" t="s">
        <v>1240</v>
      </c>
      <c r="G39" s="12" t="s">
        <v>53</v>
      </c>
      <c r="H39" s="14" t="s">
        <v>1090</v>
      </c>
      <c r="I39" s="14" t="s">
        <v>1241</v>
      </c>
      <c r="J39" s="14" t="s">
        <v>1135</v>
      </c>
      <c r="K39" s="14" t="s">
        <v>1093</v>
      </c>
      <c r="L39" s="14" t="s">
        <v>1242</v>
      </c>
      <c r="M39" s="14" t="s">
        <v>1243</v>
      </c>
      <c r="N39" s="12" t="s">
        <v>1079</v>
      </c>
    </row>
    <row r="40" customFormat="false" ht="15" hidden="false" customHeight="true" outlineLevel="0" collapsed="false">
      <c r="A40" s="12" t="s">
        <v>1244</v>
      </c>
      <c r="B40" s="13" t="s">
        <v>253</v>
      </c>
      <c r="C40" s="12" t="n">
        <v>6</v>
      </c>
      <c r="D40" s="12" t="s">
        <v>492</v>
      </c>
      <c r="E40" s="12" t="s">
        <v>536</v>
      </c>
      <c r="F40" s="12" t="s">
        <v>1245</v>
      </c>
      <c r="G40" s="12" t="s">
        <v>59</v>
      </c>
      <c r="H40" s="14" t="s">
        <v>1077</v>
      </c>
      <c r="I40" s="14" t="s">
        <v>1078</v>
      </c>
      <c r="J40" s="14"/>
      <c r="K40" s="14"/>
      <c r="L40" s="14"/>
      <c r="M40" s="14"/>
      <c r="N40" s="12" t="s">
        <v>1079</v>
      </c>
    </row>
    <row r="41" customFormat="false" ht="15" hidden="false" customHeight="true" outlineLevel="0" collapsed="false">
      <c r="A41" s="12" t="s">
        <v>1246</v>
      </c>
      <c r="B41" s="13" t="s">
        <v>274</v>
      </c>
      <c r="C41" s="12" t="n">
        <v>7</v>
      </c>
      <c r="D41" s="12" t="s">
        <v>492</v>
      </c>
      <c r="E41" s="12" t="s">
        <v>536</v>
      </c>
      <c r="F41" s="12" t="s">
        <v>1247</v>
      </c>
      <c r="G41" s="12" t="s">
        <v>59</v>
      </c>
      <c r="H41" s="14" t="s">
        <v>1077</v>
      </c>
      <c r="I41" s="14" t="s">
        <v>1078</v>
      </c>
      <c r="J41" s="14"/>
      <c r="K41" s="14"/>
      <c r="L41" s="14"/>
      <c r="M41" s="14"/>
      <c r="N41" s="12" t="s">
        <v>1079</v>
      </c>
    </row>
    <row r="42" customFormat="false" ht="23.25" hidden="false" customHeight="true" outlineLevel="0" collapsed="false">
      <c r="A42" s="12" t="s">
        <v>1248</v>
      </c>
      <c r="B42" s="13" t="s">
        <v>1249</v>
      </c>
      <c r="C42" s="12" t="n">
        <v>15</v>
      </c>
      <c r="D42" s="12" t="s">
        <v>492</v>
      </c>
      <c r="E42" s="12" t="s">
        <v>709</v>
      </c>
      <c r="F42" s="12" t="s">
        <v>1250</v>
      </c>
      <c r="G42" s="12" t="s">
        <v>59</v>
      </c>
      <c r="H42" s="14" t="s">
        <v>1077</v>
      </c>
      <c r="I42" s="14" t="s">
        <v>1078</v>
      </c>
      <c r="J42" s="14"/>
      <c r="K42" s="14"/>
      <c r="L42" s="14"/>
      <c r="M42" s="14"/>
      <c r="N42" s="12" t="s">
        <v>1079</v>
      </c>
    </row>
    <row r="43" customFormat="false" ht="23.25" hidden="false" customHeight="true" outlineLevel="0" collapsed="false">
      <c r="A43" s="12" t="s">
        <v>1251</v>
      </c>
      <c r="B43" s="13" t="s">
        <v>292</v>
      </c>
      <c r="C43" s="12" t="n">
        <v>7</v>
      </c>
      <c r="D43" s="12" t="s">
        <v>555</v>
      </c>
      <c r="E43" s="12" t="s">
        <v>556</v>
      </c>
      <c r="F43" s="12" t="s">
        <v>1252</v>
      </c>
      <c r="G43" s="12" t="s">
        <v>59</v>
      </c>
      <c r="H43" s="14" t="s">
        <v>1077</v>
      </c>
      <c r="I43" s="14" t="s">
        <v>1078</v>
      </c>
      <c r="J43" s="14"/>
      <c r="K43" s="14"/>
      <c r="L43" s="14"/>
      <c r="M43" s="14"/>
      <c r="N43" s="12" t="s">
        <v>1079</v>
      </c>
    </row>
    <row r="44" customFormat="false" ht="23.25" hidden="false" customHeight="true" outlineLevel="0" collapsed="false">
      <c r="A44" s="12" t="s">
        <v>1253</v>
      </c>
      <c r="B44" s="13" t="s">
        <v>259</v>
      </c>
      <c r="C44" s="12" t="n">
        <v>7</v>
      </c>
      <c r="D44" s="12" t="s">
        <v>555</v>
      </c>
      <c r="E44" s="12" t="s">
        <v>1254</v>
      </c>
      <c r="F44" s="12" t="s">
        <v>1255</v>
      </c>
      <c r="G44" s="12" t="s">
        <v>53</v>
      </c>
      <c r="H44" s="14" t="s">
        <v>1090</v>
      </c>
      <c r="I44" s="14" t="s">
        <v>1256</v>
      </c>
      <c r="J44" s="14" t="s">
        <v>1257</v>
      </c>
      <c r="K44" s="14" t="s">
        <v>1093</v>
      </c>
      <c r="L44" s="14" t="s">
        <v>1258</v>
      </c>
      <c r="M44" s="14" t="s">
        <v>1259</v>
      </c>
      <c r="N44" s="12" t="s">
        <v>1079</v>
      </c>
    </row>
    <row r="45" customFormat="false" ht="34.5" hidden="false" customHeight="true" outlineLevel="0" collapsed="false">
      <c r="A45" s="12" t="s">
        <v>1260</v>
      </c>
      <c r="B45" s="13" t="s">
        <v>947</v>
      </c>
      <c r="C45" s="12" t="n">
        <v>14</v>
      </c>
      <c r="D45" s="12" t="s">
        <v>555</v>
      </c>
      <c r="E45" s="12" t="s">
        <v>581</v>
      </c>
      <c r="F45" s="12" t="s">
        <v>1261</v>
      </c>
      <c r="G45" s="12" t="s">
        <v>59</v>
      </c>
      <c r="H45" s="14" t="s">
        <v>372</v>
      </c>
      <c r="I45" s="14" t="s">
        <v>1262</v>
      </c>
      <c r="J45" s="14" t="s">
        <v>1263</v>
      </c>
      <c r="K45" s="14" t="s">
        <v>1093</v>
      </c>
      <c r="L45" s="14" t="s">
        <v>1264</v>
      </c>
      <c r="M45" s="14" t="s">
        <v>1265</v>
      </c>
      <c r="N45" s="12" t="s">
        <v>1079</v>
      </c>
    </row>
    <row r="46" customFormat="false" ht="23.25" hidden="false" customHeight="true" outlineLevel="0" collapsed="false">
      <c r="A46" s="12" t="s">
        <v>1266</v>
      </c>
      <c r="B46" s="13" t="s">
        <v>598</v>
      </c>
      <c r="C46" s="12" t="n">
        <v>10</v>
      </c>
      <c r="D46" s="12" t="s">
        <v>606</v>
      </c>
      <c r="E46" s="12" t="s">
        <v>1267</v>
      </c>
      <c r="F46" s="12" t="s">
        <v>1268</v>
      </c>
      <c r="G46" s="12" t="s">
        <v>59</v>
      </c>
      <c r="H46" s="14" t="s">
        <v>1077</v>
      </c>
      <c r="I46" s="14" t="s">
        <v>1078</v>
      </c>
      <c r="J46" s="14"/>
      <c r="K46" s="14"/>
      <c r="L46" s="14"/>
      <c r="M46" s="14"/>
      <c r="N46" s="12" t="s">
        <v>1079</v>
      </c>
    </row>
    <row r="47" customFormat="false" ht="23.25" hidden="false" customHeight="true" outlineLevel="0" collapsed="false">
      <c r="A47" s="12" t="s">
        <v>1269</v>
      </c>
      <c r="B47" s="13" t="s">
        <v>643</v>
      </c>
      <c r="C47" s="12" t="n">
        <v>10</v>
      </c>
      <c r="D47" s="12" t="s">
        <v>606</v>
      </c>
      <c r="E47" s="12" t="s">
        <v>612</v>
      </c>
      <c r="F47" s="12" t="s">
        <v>1270</v>
      </c>
      <c r="G47" s="12" t="s">
        <v>53</v>
      </c>
      <c r="H47" s="14" t="s">
        <v>1090</v>
      </c>
      <c r="I47" s="14" t="s">
        <v>1271</v>
      </c>
      <c r="J47" s="14" t="s">
        <v>1135</v>
      </c>
      <c r="K47" s="14" t="s">
        <v>1093</v>
      </c>
      <c r="L47" s="14" t="s">
        <v>1272</v>
      </c>
      <c r="M47" s="14" t="s">
        <v>1273</v>
      </c>
      <c r="N47" s="12" t="s">
        <v>1079</v>
      </c>
    </row>
    <row r="48" customFormat="false" ht="23.25" hidden="false" customHeight="true" outlineLevel="0" collapsed="false">
      <c r="A48" s="12" t="s">
        <v>1274</v>
      </c>
      <c r="B48" s="13" t="s">
        <v>665</v>
      </c>
      <c r="C48" s="12" t="n">
        <v>11</v>
      </c>
      <c r="D48" s="12" t="s">
        <v>606</v>
      </c>
      <c r="E48" s="12" t="s">
        <v>1275</v>
      </c>
      <c r="F48" s="12" t="s">
        <v>1276</v>
      </c>
      <c r="G48" s="12" t="s">
        <v>53</v>
      </c>
      <c r="H48" s="14" t="s">
        <v>1090</v>
      </c>
      <c r="I48" s="14" t="s">
        <v>1277</v>
      </c>
      <c r="J48" s="14" t="s">
        <v>1278</v>
      </c>
      <c r="K48" s="14" t="s">
        <v>1093</v>
      </c>
      <c r="L48" s="14" t="s">
        <v>1279</v>
      </c>
      <c r="M48" s="14" t="s">
        <v>1280</v>
      </c>
      <c r="N48" s="12" t="s">
        <v>1079</v>
      </c>
    </row>
    <row r="49" customFormat="false" ht="23.25" hidden="false" customHeight="true" outlineLevel="0" collapsed="false">
      <c r="A49" s="12" t="s">
        <v>1281</v>
      </c>
      <c r="B49" s="13" t="s">
        <v>670</v>
      </c>
      <c r="C49" s="12" t="n">
        <v>11</v>
      </c>
      <c r="D49" s="12" t="s">
        <v>606</v>
      </c>
      <c r="E49" s="12" t="s">
        <v>1275</v>
      </c>
      <c r="F49" s="12" t="s">
        <v>1282</v>
      </c>
      <c r="G49" s="12" t="s">
        <v>53</v>
      </c>
      <c r="H49" s="14" t="s">
        <v>1090</v>
      </c>
      <c r="I49" s="14" t="s">
        <v>1283</v>
      </c>
      <c r="J49" s="14" t="s">
        <v>1135</v>
      </c>
      <c r="K49" s="14" t="s">
        <v>1093</v>
      </c>
      <c r="L49" s="14" t="s">
        <v>1284</v>
      </c>
      <c r="M49" s="14" t="s">
        <v>1285</v>
      </c>
      <c r="N49" s="12" t="s">
        <v>1079</v>
      </c>
    </row>
    <row r="50" customFormat="false" ht="23.25" hidden="false" customHeight="true" outlineLevel="0" collapsed="false">
      <c r="A50" s="12" t="s">
        <v>1286</v>
      </c>
      <c r="B50" s="13" t="s">
        <v>681</v>
      </c>
      <c r="C50" s="12" t="n">
        <v>11</v>
      </c>
      <c r="D50" s="12" t="s">
        <v>606</v>
      </c>
      <c r="E50" s="12" t="s">
        <v>617</v>
      </c>
      <c r="F50" s="12" t="s">
        <v>1287</v>
      </c>
      <c r="G50" s="12" t="s">
        <v>59</v>
      </c>
      <c r="H50" s="14" t="s">
        <v>1077</v>
      </c>
      <c r="I50" s="14" t="s">
        <v>1078</v>
      </c>
      <c r="J50" s="14"/>
      <c r="K50" s="14"/>
      <c r="L50" s="14"/>
      <c r="M50" s="14"/>
      <c r="N50" s="12" t="s">
        <v>1079</v>
      </c>
    </row>
    <row r="51" customFormat="false" ht="15" hidden="false" customHeight="true" outlineLevel="0" collapsed="false">
      <c r="A51" s="12" t="s">
        <v>1288</v>
      </c>
      <c r="B51" s="13" t="s">
        <v>739</v>
      </c>
      <c r="C51" s="12" t="n">
        <v>11</v>
      </c>
      <c r="D51" s="12" t="s">
        <v>606</v>
      </c>
      <c r="E51" s="12" t="s">
        <v>1289</v>
      </c>
      <c r="F51" s="12" t="s">
        <v>1290</v>
      </c>
      <c r="G51" s="12" t="s">
        <v>59</v>
      </c>
      <c r="H51" s="14" t="s">
        <v>1077</v>
      </c>
      <c r="I51" s="14" t="s">
        <v>1078</v>
      </c>
      <c r="J51" s="14"/>
      <c r="K51" s="14"/>
      <c r="L51" s="14"/>
      <c r="M51" s="14"/>
      <c r="N51" s="12" t="s">
        <v>1079</v>
      </c>
    </row>
    <row r="52" customFormat="false" ht="23.25" hidden="false" customHeight="true" outlineLevel="0" collapsed="false">
      <c r="A52" s="12" t="s">
        <v>1291</v>
      </c>
      <c r="B52" s="13" t="s">
        <v>753</v>
      </c>
      <c r="C52" s="12" t="n">
        <v>12</v>
      </c>
      <c r="D52" s="12" t="s">
        <v>606</v>
      </c>
      <c r="E52" s="12" t="s">
        <v>1292</v>
      </c>
      <c r="F52" s="12" t="s">
        <v>1293</v>
      </c>
      <c r="G52" s="12" t="s">
        <v>53</v>
      </c>
      <c r="H52" s="14" t="s">
        <v>1090</v>
      </c>
      <c r="I52" s="14" t="s">
        <v>1294</v>
      </c>
      <c r="J52" s="14" t="s">
        <v>1295</v>
      </c>
      <c r="K52" s="14" t="s">
        <v>1163</v>
      </c>
      <c r="L52" s="14" t="s">
        <v>1296</v>
      </c>
      <c r="M52" s="14" t="s">
        <v>1297</v>
      </c>
      <c r="N52" s="12" t="s">
        <v>1079</v>
      </c>
    </row>
    <row r="53" customFormat="false" ht="34.5" hidden="false" customHeight="true" outlineLevel="0" collapsed="false">
      <c r="A53" s="12" t="s">
        <v>1298</v>
      </c>
      <c r="B53" s="13" t="s">
        <v>792</v>
      </c>
      <c r="C53" s="12" t="n">
        <v>12</v>
      </c>
      <c r="D53" s="12" t="s">
        <v>606</v>
      </c>
      <c r="E53" s="12" t="s">
        <v>628</v>
      </c>
      <c r="F53" s="12" t="s">
        <v>1299</v>
      </c>
      <c r="G53" s="12" t="s">
        <v>59</v>
      </c>
      <c r="H53" s="14" t="s">
        <v>372</v>
      </c>
      <c r="I53" s="14" t="s">
        <v>1300</v>
      </c>
      <c r="J53" s="14" t="s">
        <v>1301</v>
      </c>
      <c r="K53" s="14" t="s">
        <v>1124</v>
      </c>
      <c r="L53" s="14" t="s">
        <v>1302</v>
      </c>
      <c r="M53" s="14" t="s">
        <v>1303</v>
      </c>
      <c r="N53" s="12" t="s">
        <v>1079</v>
      </c>
    </row>
    <row r="54" customFormat="false" ht="23.25" hidden="false" customHeight="true" outlineLevel="0" collapsed="false">
      <c r="A54" s="12" t="s">
        <v>1304</v>
      </c>
      <c r="B54" s="13" t="s">
        <v>807</v>
      </c>
      <c r="C54" s="12" t="n">
        <v>12</v>
      </c>
      <c r="D54" s="12" t="s">
        <v>606</v>
      </c>
      <c r="E54" s="12" t="s">
        <v>628</v>
      </c>
      <c r="F54" s="12" t="s">
        <v>1305</v>
      </c>
      <c r="G54" s="12" t="s">
        <v>59</v>
      </c>
      <c r="H54" s="14" t="s">
        <v>372</v>
      </c>
      <c r="I54" s="14" t="s">
        <v>1306</v>
      </c>
      <c r="J54" s="14" t="s">
        <v>1135</v>
      </c>
      <c r="K54" s="14" t="s">
        <v>1093</v>
      </c>
      <c r="L54" s="14" t="s">
        <v>1307</v>
      </c>
      <c r="M54" s="14" t="s">
        <v>1308</v>
      </c>
      <c r="N54" s="12" t="s">
        <v>1079</v>
      </c>
    </row>
    <row r="55" customFormat="false" ht="23.25" hidden="false" customHeight="true" outlineLevel="0" collapsed="false">
      <c r="A55" s="12" t="s">
        <v>1309</v>
      </c>
      <c r="B55" s="13" t="s">
        <v>897</v>
      </c>
      <c r="C55" s="12" t="n">
        <v>13</v>
      </c>
      <c r="D55" s="12" t="s">
        <v>606</v>
      </c>
      <c r="E55" s="12" t="s">
        <v>1310</v>
      </c>
      <c r="F55" s="12" t="s">
        <v>1311</v>
      </c>
      <c r="G55" s="12" t="s">
        <v>59</v>
      </c>
      <c r="H55" s="14" t="s">
        <v>372</v>
      </c>
      <c r="I55" s="14" t="s">
        <v>1312</v>
      </c>
      <c r="J55" s="14" t="s">
        <v>1135</v>
      </c>
      <c r="K55" s="14" t="s">
        <v>1093</v>
      </c>
      <c r="L55" s="14" t="s">
        <v>1313</v>
      </c>
      <c r="M55" s="14" t="s">
        <v>1314</v>
      </c>
      <c r="N55" s="12" t="s">
        <v>1079</v>
      </c>
    </row>
    <row r="56" customFormat="false" ht="23.25" hidden="false" customHeight="true" outlineLevel="0" collapsed="false">
      <c r="A56" s="12" t="s">
        <v>1315</v>
      </c>
      <c r="B56" s="13" t="s">
        <v>1020</v>
      </c>
      <c r="C56" s="12" t="n">
        <v>15</v>
      </c>
      <c r="D56" s="12" t="s">
        <v>606</v>
      </c>
      <c r="E56" s="12" t="s">
        <v>1316</v>
      </c>
      <c r="F56" s="12" t="s">
        <v>1317</v>
      </c>
      <c r="G56" s="12" t="s">
        <v>59</v>
      </c>
      <c r="H56" s="14" t="s">
        <v>372</v>
      </c>
      <c r="I56" s="14" t="s">
        <v>1318</v>
      </c>
      <c r="J56" s="14" t="s">
        <v>1319</v>
      </c>
      <c r="K56" s="14" t="s">
        <v>1124</v>
      </c>
      <c r="L56" s="14" t="s">
        <v>1320</v>
      </c>
      <c r="M56" s="14" t="s">
        <v>1126</v>
      </c>
      <c r="N56" s="12" t="s">
        <v>1079</v>
      </c>
    </row>
    <row r="57" customFormat="false" ht="15" hidden="false" customHeight="true" outlineLevel="0" collapsed="false">
      <c r="A57" s="12" t="s">
        <v>1321</v>
      </c>
      <c r="B57" s="13" t="s">
        <v>1029</v>
      </c>
      <c r="C57" s="12" t="n">
        <v>15</v>
      </c>
      <c r="D57" s="12" t="s">
        <v>606</v>
      </c>
      <c r="E57" s="12" t="s">
        <v>1322</v>
      </c>
      <c r="F57" s="12" t="s">
        <v>1323</v>
      </c>
      <c r="G57" s="12" t="s">
        <v>59</v>
      </c>
      <c r="H57" s="14" t="s">
        <v>1077</v>
      </c>
      <c r="I57" s="14" t="s">
        <v>1078</v>
      </c>
      <c r="J57" s="14"/>
      <c r="K57" s="14"/>
      <c r="L57" s="14"/>
      <c r="M57" s="14"/>
      <c r="N57" s="12" t="s">
        <v>1079</v>
      </c>
    </row>
    <row r="58" customFormat="false" ht="23.25" hidden="false" customHeight="true" outlineLevel="0" collapsed="false">
      <c r="A58" s="12" t="s">
        <v>1324</v>
      </c>
      <c r="B58" s="13" t="s">
        <v>1042</v>
      </c>
      <c r="C58" s="12" t="n">
        <v>15</v>
      </c>
      <c r="D58" s="12" t="s">
        <v>606</v>
      </c>
      <c r="E58" s="12" t="s">
        <v>634</v>
      </c>
      <c r="F58" s="12" t="s">
        <v>1325</v>
      </c>
      <c r="G58" s="12" t="s">
        <v>59</v>
      </c>
      <c r="H58" s="14" t="s">
        <v>1077</v>
      </c>
      <c r="I58" s="14" t="s">
        <v>1078</v>
      </c>
      <c r="J58" s="14"/>
      <c r="K58" s="14"/>
      <c r="L58" s="14"/>
      <c r="M58" s="14"/>
      <c r="N58" s="12" t="s">
        <v>1079</v>
      </c>
    </row>
    <row r="59" customFormat="false" ht="23.25" hidden="false" customHeight="true" outlineLevel="0" collapsed="false">
      <c r="A59" s="12" t="s">
        <v>1326</v>
      </c>
      <c r="B59" s="13" t="s">
        <v>1327</v>
      </c>
      <c r="C59" s="12" t="n">
        <v>15</v>
      </c>
      <c r="D59" s="12" t="s">
        <v>606</v>
      </c>
      <c r="E59" s="12" t="s">
        <v>523</v>
      </c>
      <c r="F59" s="12" t="s">
        <v>1328</v>
      </c>
      <c r="G59" s="12" t="s">
        <v>59</v>
      </c>
      <c r="H59" s="14" t="s">
        <v>1077</v>
      </c>
      <c r="I59" s="14" t="s">
        <v>1078</v>
      </c>
      <c r="J59" s="14"/>
      <c r="K59" s="14"/>
      <c r="L59" s="14"/>
      <c r="M59" s="14"/>
      <c r="N59" s="12" t="s">
        <v>1079</v>
      </c>
    </row>
    <row r="60" customFormat="false" ht="23.25" hidden="false" customHeight="true" outlineLevel="0" collapsed="false">
      <c r="A60" s="12" t="s">
        <v>1329</v>
      </c>
      <c r="B60" s="13" t="s">
        <v>1330</v>
      </c>
      <c r="C60" s="12" t="n">
        <v>15</v>
      </c>
      <c r="D60" s="12" t="s">
        <v>606</v>
      </c>
      <c r="E60" s="12" t="s">
        <v>1331</v>
      </c>
      <c r="F60" s="12" t="s">
        <v>1332</v>
      </c>
      <c r="G60" s="12" t="s">
        <v>59</v>
      </c>
      <c r="H60" s="14" t="s">
        <v>1077</v>
      </c>
      <c r="I60" s="14" t="s">
        <v>1078</v>
      </c>
      <c r="J60" s="14"/>
      <c r="K60" s="14"/>
      <c r="L60" s="14"/>
      <c r="M60" s="14"/>
      <c r="N60" s="12" t="s">
        <v>1079</v>
      </c>
    </row>
    <row r="61" customFormat="false" ht="15" hidden="false" customHeight="true" outlineLevel="0" collapsed="false">
      <c r="A61" s="12" t="s">
        <v>1333</v>
      </c>
      <c r="B61" s="13" t="s">
        <v>1334</v>
      </c>
      <c r="C61" s="12" t="n">
        <v>16</v>
      </c>
      <c r="D61" s="12" t="s">
        <v>606</v>
      </c>
      <c r="E61" s="12" t="s">
        <v>1335</v>
      </c>
      <c r="F61" s="12" t="s">
        <v>1336</v>
      </c>
      <c r="G61" s="12" t="s">
        <v>59</v>
      </c>
      <c r="H61" s="14" t="s">
        <v>1077</v>
      </c>
      <c r="I61" s="14" t="s">
        <v>1078</v>
      </c>
      <c r="J61" s="14"/>
      <c r="K61" s="14"/>
      <c r="L61" s="14"/>
      <c r="M61" s="14"/>
      <c r="N61" s="12" t="s">
        <v>1079</v>
      </c>
    </row>
    <row r="62" customFormat="false" ht="23.25" hidden="false" customHeight="true" outlineLevel="0" collapsed="false">
      <c r="A62" s="12" t="s">
        <v>1337</v>
      </c>
      <c r="B62" s="13" t="s">
        <v>1338</v>
      </c>
      <c r="C62" s="12" t="n">
        <v>16</v>
      </c>
      <c r="D62" s="12" t="s">
        <v>606</v>
      </c>
      <c r="E62" s="12" t="s">
        <v>1339</v>
      </c>
      <c r="F62" s="12" t="s">
        <v>1340</v>
      </c>
      <c r="G62" s="12" t="s">
        <v>59</v>
      </c>
      <c r="H62" s="14" t="s">
        <v>1077</v>
      </c>
      <c r="I62" s="14" t="s">
        <v>1078</v>
      </c>
      <c r="J62" s="14"/>
      <c r="K62" s="14"/>
      <c r="L62" s="14"/>
      <c r="M62" s="14"/>
      <c r="N62" s="12" t="s">
        <v>1079</v>
      </c>
    </row>
    <row r="63" customFormat="false" ht="23.25" hidden="false" customHeight="true" outlineLevel="0" collapsed="false">
      <c r="A63" s="12" t="s">
        <v>1341</v>
      </c>
      <c r="B63" s="13" t="s">
        <v>1342</v>
      </c>
      <c r="C63" s="12" t="n">
        <v>16</v>
      </c>
      <c r="D63" s="12" t="s">
        <v>606</v>
      </c>
      <c r="E63" s="12" t="s">
        <v>988</v>
      </c>
      <c r="F63" s="12" t="s">
        <v>1343</v>
      </c>
      <c r="G63" s="12" t="s">
        <v>59</v>
      </c>
      <c r="H63" s="14" t="s">
        <v>1077</v>
      </c>
      <c r="I63" s="14" t="s">
        <v>1078</v>
      </c>
      <c r="J63" s="14"/>
      <c r="K63" s="14"/>
      <c r="L63" s="14"/>
      <c r="M63" s="14"/>
      <c r="N63" s="12" t="s">
        <v>1079</v>
      </c>
    </row>
    <row r="64" customFormat="false" ht="23.25" hidden="false" customHeight="true" outlineLevel="0" collapsed="false">
      <c r="A64" s="12" t="s">
        <v>1344</v>
      </c>
      <c r="B64" s="13" t="s">
        <v>52</v>
      </c>
      <c r="C64" s="12" t="n">
        <v>4</v>
      </c>
      <c r="D64" s="12" t="s">
        <v>726</v>
      </c>
      <c r="E64" s="12" t="s">
        <v>766</v>
      </c>
      <c r="F64" s="12" t="s">
        <v>1345</v>
      </c>
      <c r="G64" s="12" t="s">
        <v>59</v>
      </c>
      <c r="H64" s="14" t="s">
        <v>372</v>
      </c>
      <c r="I64" s="14" t="s">
        <v>1346</v>
      </c>
      <c r="J64" s="14" t="s">
        <v>1347</v>
      </c>
      <c r="K64" s="14" t="s">
        <v>1124</v>
      </c>
      <c r="L64" s="14" t="s">
        <v>1348</v>
      </c>
      <c r="M64" s="14" t="s">
        <v>1349</v>
      </c>
      <c r="N64" s="12" t="s">
        <v>1079</v>
      </c>
    </row>
    <row r="65" customFormat="false" ht="23.25" hidden="false" customHeight="true" outlineLevel="0" collapsed="false">
      <c r="A65" s="12" t="s">
        <v>1350</v>
      </c>
      <c r="B65" s="13" t="s">
        <v>116</v>
      </c>
      <c r="C65" s="12" t="n">
        <v>5</v>
      </c>
      <c r="D65" s="12" t="s">
        <v>726</v>
      </c>
      <c r="E65" s="12" t="s">
        <v>1351</v>
      </c>
      <c r="F65" s="12" t="s">
        <v>1352</v>
      </c>
      <c r="G65" s="12" t="s">
        <v>174</v>
      </c>
      <c r="H65" s="14" t="s">
        <v>372</v>
      </c>
      <c r="I65" s="14" t="s">
        <v>1353</v>
      </c>
      <c r="J65" s="14" t="s">
        <v>1354</v>
      </c>
      <c r="K65" s="14" t="s">
        <v>1124</v>
      </c>
      <c r="L65" s="14" t="s">
        <v>1355</v>
      </c>
      <c r="M65" s="14" t="s">
        <v>1356</v>
      </c>
      <c r="N65" s="12" t="s">
        <v>1079</v>
      </c>
    </row>
    <row r="66" customFormat="false" ht="23.25" hidden="false" customHeight="true" outlineLevel="0" collapsed="false">
      <c r="A66" s="12" t="s">
        <v>1357</v>
      </c>
      <c r="B66" s="13" t="s">
        <v>711</v>
      </c>
      <c r="C66" s="12" t="n">
        <v>11</v>
      </c>
      <c r="D66" s="12" t="s">
        <v>726</v>
      </c>
      <c r="E66" s="12" t="s">
        <v>1358</v>
      </c>
      <c r="F66" s="12" t="s">
        <v>1359</v>
      </c>
      <c r="G66" s="12" t="s">
        <v>59</v>
      </c>
      <c r="H66" s="14" t="s">
        <v>1077</v>
      </c>
      <c r="I66" s="14" t="s">
        <v>1078</v>
      </c>
      <c r="J66" s="14"/>
      <c r="K66" s="14"/>
      <c r="L66" s="14"/>
      <c r="M66" s="14"/>
      <c r="N66" s="12" t="s">
        <v>1079</v>
      </c>
    </row>
    <row r="67" customFormat="false" ht="23.25" hidden="false" customHeight="true" outlineLevel="0" collapsed="false">
      <c r="A67" s="12" t="s">
        <v>1360</v>
      </c>
      <c r="B67" s="13" t="s">
        <v>833</v>
      </c>
      <c r="C67" s="12" t="n">
        <v>12</v>
      </c>
      <c r="D67" s="12" t="s">
        <v>726</v>
      </c>
      <c r="E67" s="12" t="s">
        <v>741</v>
      </c>
      <c r="F67" s="12" t="s">
        <v>1361</v>
      </c>
      <c r="G67" s="12" t="s">
        <v>59</v>
      </c>
      <c r="H67" s="14" t="s">
        <v>372</v>
      </c>
      <c r="I67" s="14" t="s">
        <v>1362</v>
      </c>
      <c r="J67" s="14" t="s">
        <v>1263</v>
      </c>
      <c r="K67" s="14" t="s">
        <v>1093</v>
      </c>
      <c r="L67" s="14" t="s">
        <v>1363</v>
      </c>
      <c r="M67" s="14" t="s">
        <v>1364</v>
      </c>
      <c r="N67" s="12" t="s">
        <v>1079</v>
      </c>
    </row>
    <row r="68" customFormat="false" ht="15" hidden="false" customHeight="true" outlineLevel="0" collapsed="false">
      <c r="A68" s="12" t="s">
        <v>1365</v>
      </c>
      <c r="B68" s="13" t="s">
        <v>860</v>
      </c>
      <c r="C68" s="12" t="n">
        <v>13</v>
      </c>
      <c r="D68" s="12" t="s">
        <v>726</v>
      </c>
      <c r="E68" s="12" t="s">
        <v>1366</v>
      </c>
      <c r="F68" s="12" t="s">
        <v>1367</v>
      </c>
      <c r="G68" s="12" t="s">
        <v>59</v>
      </c>
      <c r="H68" s="14" t="s">
        <v>1077</v>
      </c>
      <c r="I68" s="14" t="s">
        <v>1078</v>
      </c>
      <c r="J68" s="14"/>
      <c r="K68" s="14"/>
      <c r="L68" s="14"/>
      <c r="M68" s="14"/>
      <c r="N68" s="12" t="s">
        <v>1079</v>
      </c>
    </row>
    <row r="69" customFormat="false" ht="23.25" hidden="false" customHeight="true" outlineLevel="0" collapsed="false">
      <c r="A69" s="12" t="s">
        <v>1368</v>
      </c>
      <c r="B69" s="13" t="s">
        <v>1369</v>
      </c>
      <c r="C69" s="12" t="n">
        <v>13</v>
      </c>
      <c r="D69" s="12" t="s">
        <v>726</v>
      </c>
      <c r="E69" s="12" t="s">
        <v>1370</v>
      </c>
      <c r="F69" s="12" t="s">
        <v>1371</v>
      </c>
      <c r="G69" s="12" t="s">
        <v>59</v>
      </c>
      <c r="H69" s="14" t="s">
        <v>1077</v>
      </c>
      <c r="I69" s="14" t="s">
        <v>1078</v>
      </c>
      <c r="J69" s="14"/>
      <c r="K69" s="14"/>
      <c r="L69" s="14"/>
      <c r="M69" s="14"/>
      <c r="N69" s="12" t="s">
        <v>1079</v>
      </c>
    </row>
    <row r="70" customFormat="false" ht="23.25" hidden="false" customHeight="true" outlineLevel="0" collapsed="false">
      <c r="A70" s="12" t="s">
        <v>1372</v>
      </c>
      <c r="B70" s="13" t="s">
        <v>719</v>
      </c>
      <c r="C70" s="12" t="n">
        <v>11</v>
      </c>
      <c r="D70" s="12" t="s">
        <v>814</v>
      </c>
      <c r="E70" s="12" t="s">
        <v>849</v>
      </c>
      <c r="F70" s="12" t="s">
        <v>1373</v>
      </c>
      <c r="G70" s="12" t="s">
        <v>53</v>
      </c>
      <c r="H70" s="14" t="s">
        <v>1090</v>
      </c>
      <c r="I70" s="14" t="s">
        <v>1374</v>
      </c>
      <c r="J70" s="14" t="s">
        <v>1375</v>
      </c>
      <c r="K70" s="14" t="s">
        <v>1124</v>
      </c>
      <c r="L70" s="14" t="s">
        <v>1376</v>
      </c>
      <c r="M70" s="14" t="s">
        <v>1377</v>
      </c>
      <c r="N70" s="12" t="s">
        <v>1079</v>
      </c>
    </row>
    <row r="71" customFormat="false" ht="23.25" hidden="false" customHeight="true" outlineLevel="0" collapsed="false">
      <c r="A71" s="12" t="s">
        <v>1378</v>
      </c>
      <c r="B71" s="13" t="s">
        <v>968</v>
      </c>
      <c r="C71" s="12" t="n">
        <v>14</v>
      </c>
      <c r="D71" s="12" t="s">
        <v>814</v>
      </c>
      <c r="E71" s="12" t="s">
        <v>1379</v>
      </c>
      <c r="F71" s="12" t="s">
        <v>1380</v>
      </c>
      <c r="G71" s="12" t="s">
        <v>59</v>
      </c>
      <c r="H71" s="14" t="s">
        <v>1077</v>
      </c>
      <c r="I71" s="14" t="s">
        <v>1078</v>
      </c>
      <c r="J71" s="14"/>
      <c r="K71" s="14"/>
      <c r="L71" s="14"/>
      <c r="M71" s="14"/>
      <c r="N71" s="12" t="s">
        <v>1079</v>
      </c>
    </row>
    <row r="72" customFormat="false" ht="23.25" hidden="false" customHeight="true" outlineLevel="0" collapsed="false">
      <c r="A72" s="12" t="s">
        <v>1381</v>
      </c>
      <c r="B72" s="13" t="s">
        <v>1003</v>
      </c>
      <c r="C72" s="12" t="n">
        <v>14</v>
      </c>
      <c r="D72" s="12" t="s">
        <v>814</v>
      </c>
      <c r="E72" s="12" t="s">
        <v>1316</v>
      </c>
      <c r="F72" s="12" t="s">
        <v>1382</v>
      </c>
      <c r="G72" s="12" t="s">
        <v>59</v>
      </c>
      <c r="H72" s="14" t="s">
        <v>372</v>
      </c>
      <c r="I72" s="14" t="s">
        <v>1383</v>
      </c>
      <c r="J72" s="14" t="s">
        <v>1384</v>
      </c>
      <c r="K72" s="14" t="s">
        <v>1124</v>
      </c>
      <c r="L72" s="14" t="s">
        <v>1385</v>
      </c>
      <c r="M72" s="14" t="s">
        <v>1386</v>
      </c>
      <c r="N72" s="12" t="s">
        <v>1079</v>
      </c>
    </row>
    <row r="73" customFormat="false" ht="23.25" hidden="false" customHeight="true" outlineLevel="0" collapsed="false">
      <c r="A73" s="12" t="s">
        <v>1387</v>
      </c>
      <c r="B73" s="13" t="s">
        <v>1013</v>
      </c>
      <c r="C73" s="12" t="n">
        <v>14</v>
      </c>
      <c r="D73" s="12" t="s">
        <v>814</v>
      </c>
      <c r="E73" s="12" t="s">
        <v>1316</v>
      </c>
      <c r="F73" s="12" t="s">
        <v>1388</v>
      </c>
      <c r="G73" s="12" t="s">
        <v>59</v>
      </c>
      <c r="H73" s="14" t="s">
        <v>55</v>
      </c>
      <c r="I73" s="14" t="s">
        <v>1389</v>
      </c>
      <c r="J73" s="14" t="s">
        <v>1384</v>
      </c>
      <c r="K73" s="14" t="s">
        <v>1124</v>
      </c>
      <c r="L73" s="14" t="s">
        <v>1385</v>
      </c>
      <c r="M73" s="14" t="s">
        <v>1386</v>
      </c>
      <c r="N73" s="12" t="s">
        <v>1079</v>
      </c>
    </row>
    <row r="74" customFormat="false" ht="23.25" hidden="false" customHeight="true" outlineLevel="0" collapsed="false">
      <c r="A74" s="12" t="s">
        <v>1390</v>
      </c>
      <c r="B74" s="13" t="s">
        <v>1391</v>
      </c>
      <c r="C74" s="12" t="n">
        <v>15</v>
      </c>
      <c r="D74" s="12" t="s">
        <v>814</v>
      </c>
      <c r="E74" s="12" t="s">
        <v>1379</v>
      </c>
      <c r="F74" s="12" t="s">
        <v>1392</v>
      </c>
      <c r="G74" s="12" t="s">
        <v>59</v>
      </c>
      <c r="H74" s="14" t="s">
        <v>372</v>
      </c>
      <c r="I74" s="14" t="s">
        <v>1393</v>
      </c>
      <c r="J74" s="14" t="s">
        <v>1135</v>
      </c>
      <c r="K74" s="14" t="s">
        <v>1093</v>
      </c>
      <c r="L74" s="14" t="s">
        <v>1394</v>
      </c>
      <c r="M74" s="14" t="s">
        <v>1395</v>
      </c>
      <c r="N74" s="12" t="s">
        <v>1079</v>
      </c>
    </row>
    <row r="75" customFormat="false" ht="23.25" hidden="false" customHeight="true" outlineLevel="0" collapsed="false">
      <c r="A75" s="12" t="s">
        <v>1396</v>
      </c>
      <c r="B75" s="13" t="s">
        <v>609</v>
      </c>
      <c r="C75" s="12" t="n">
        <v>10</v>
      </c>
      <c r="D75" s="12" t="s">
        <v>878</v>
      </c>
      <c r="E75" s="12" t="s">
        <v>1397</v>
      </c>
      <c r="F75" s="12" t="s">
        <v>1398</v>
      </c>
      <c r="G75" s="12" t="s">
        <v>59</v>
      </c>
      <c r="H75" s="14" t="s">
        <v>1077</v>
      </c>
      <c r="I75" s="14" t="s">
        <v>1078</v>
      </c>
      <c r="J75" s="14"/>
      <c r="K75" s="14"/>
      <c r="L75" s="14"/>
      <c r="M75" s="14"/>
      <c r="N75" s="12" t="s">
        <v>1079</v>
      </c>
    </row>
    <row r="76" customFormat="false" ht="23.25" hidden="false" customHeight="true" outlineLevel="0" collapsed="false">
      <c r="A76" s="12" t="s">
        <v>1399</v>
      </c>
      <c r="B76" s="13" t="s">
        <v>881</v>
      </c>
      <c r="C76" s="12" t="n">
        <v>13</v>
      </c>
      <c r="D76" s="12" t="s">
        <v>878</v>
      </c>
      <c r="E76" s="12" t="s">
        <v>1400</v>
      </c>
      <c r="F76" s="12" t="s">
        <v>1401</v>
      </c>
      <c r="G76" s="12" t="s">
        <v>59</v>
      </c>
      <c r="H76" s="14" t="s">
        <v>1077</v>
      </c>
      <c r="I76" s="14" t="s">
        <v>1078</v>
      </c>
      <c r="J76" s="14"/>
      <c r="K76" s="14"/>
      <c r="L76" s="14"/>
      <c r="M76" s="14"/>
      <c r="N76" s="12" t="s">
        <v>1079</v>
      </c>
    </row>
    <row r="77" customFormat="false" ht="23.25" hidden="false" customHeight="true" outlineLevel="0" collapsed="false">
      <c r="A77" s="12" t="s">
        <v>1402</v>
      </c>
      <c r="B77" s="13" t="s">
        <v>1403</v>
      </c>
      <c r="C77" s="12" t="n">
        <v>16</v>
      </c>
      <c r="D77" s="12" t="s">
        <v>878</v>
      </c>
      <c r="E77" s="12" t="s">
        <v>895</v>
      </c>
      <c r="F77" s="12" t="s">
        <v>1404</v>
      </c>
      <c r="G77" s="12" t="s">
        <v>174</v>
      </c>
      <c r="H77" s="14" t="s">
        <v>372</v>
      </c>
      <c r="I77" s="14" t="s">
        <v>1405</v>
      </c>
      <c r="J77" s="14" t="s">
        <v>1295</v>
      </c>
      <c r="K77" s="14" t="s">
        <v>1163</v>
      </c>
      <c r="L77" s="14" t="s">
        <v>1406</v>
      </c>
      <c r="M77" s="14" t="s">
        <v>1407</v>
      </c>
      <c r="N77" s="12" t="s">
        <v>1079</v>
      </c>
    </row>
    <row r="78" customFormat="false" ht="34.5" hidden="false" customHeight="true" outlineLevel="0" collapsed="false">
      <c r="A78" s="12" t="s">
        <v>1408</v>
      </c>
      <c r="B78" s="13" t="s">
        <v>1409</v>
      </c>
      <c r="C78" s="12" t="n">
        <v>17</v>
      </c>
      <c r="D78" s="12" t="s">
        <v>878</v>
      </c>
      <c r="E78" s="12" t="s">
        <v>290</v>
      </c>
      <c r="F78" s="12" t="s">
        <v>1410</v>
      </c>
      <c r="G78" s="12" t="s">
        <v>174</v>
      </c>
      <c r="H78" s="14" t="s">
        <v>372</v>
      </c>
      <c r="I78" s="14" t="s">
        <v>1411</v>
      </c>
      <c r="J78" s="14" t="s">
        <v>1412</v>
      </c>
      <c r="K78" s="14" t="s">
        <v>1124</v>
      </c>
      <c r="L78" s="14" t="s">
        <v>1413</v>
      </c>
      <c r="M78" s="14" t="s">
        <v>1414</v>
      </c>
      <c r="N78" s="12" t="s">
        <v>1079</v>
      </c>
    </row>
    <row r="79" customFormat="false" ht="23.25" hidden="false" customHeight="true" outlineLevel="0" collapsed="false">
      <c r="A79" s="12" t="s">
        <v>1415</v>
      </c>
      <c r="B79" s="13" t="s">
        <v>1416</v>
      </c>
      <c r="C79" s="12" t="n">
        <v>17</v>
      </c>
      <c r="D79" s="12" t="s">
        <v>878</v>
      </c>
      <c r="E79" s="12" t="s">
        <v>913</v>
      </c>
      <c r="F79" s="12" t="s">
        <v>1417</v>
      </c>
      <c r="G79" s="12" t="s">
        <v>59</v>
      </c>
      <c r="H79" s="14" t="s">
        <v>1077</v>
      </c>
      <c r="I79" s="14" t="s">
        <v>1078</v>
      </c>
      <c r="J79" s="14"/>
      <c r="K79" s="14"/>
      <c r="L79" s="14"/>
      <c r="M79" s="14"/>
      <c r="N79" s="12" t="s">
        <v>1079</v>
      </c>
    </row>
    <row r="80" customFormat="false" ht="15" hidden="false" customHeight="true" outlineLevel="0" collapsed="false">
      <c r="A80" s="12" t="s">
        <v>1418</v>
      </c>
      <c r="B80" s="13" t="s">
        <v>1419</v>
      </c>
      <c r="C80" s="12" t="n">
        <v>17</v>
      </c>
      <c r="D80" s="12" t="s">
        <v>878</v>
      </c>
      <c r="E80" s="12" t="s">
        <v>913</v>
      </c>
      <c r="F80" s="12" t="s">
        <v>1420</v>
      </c>
      <c r="G80" s="12" t="s">
        <v>59</v>
      </c>
      <c r="H80" s="14" t="s">
        <v>1077</v>
      </c>
      <c r="I80" s="14" t="s">
        <v>1078</v>
      </c>
      <c r="J80" s="14"/>
      <c r="K80" s="14"/>
      <c r="L80" s="14"/>
      <c r="M80" s="14"/>
      <c r="N80" s="12" t="s">
        <v>1079</v>
      </c>
    </row>
    <row r="81" customFormat="false" ht="23.25" hidden="false" customHeight="true" outlineLevel="0" collapsed="false">
      <c r="A81" s="12" t="s">
        <v>1421</v>
      </c>
      <c r="B81" s="13" t="s">
        <v>1422</v>
      </c>
      <c r="C81" s="12" t="n">
        <v>4</v>
      </c>
      <c r="D81" s="12" t="s">
        <v>944</v>
      </c>
      <c r="E81" s="12" t="s">
        <v>1423</v>
      </c>
      <c r="F81" s="12" t="s">
        <v>1424</v>
      </c>
      <c r="G81" s="12" t="s">
        <v>59</v>
      </c>
      <c r="H81" s="14" t="s">
        <v>1077</v>
      </c>
      <c r="I81" s="14" t="s">
        <v>1425</v>
      </c>
      <c r="J81" s="14"/>
      <c r="K81" s="14"/>
      <c r="L81" s="14"/>
      <c r="M81" s="14"/>
      <c r="N81" s="12" t="s">
        <v>1079</v>
      </c>
    </row>
    <row r="82" customFormat="false" ht="23.25" hidden="false" customHeight="true" outlineLevel="0" collapsed="false">
      <c r="A82" s="12" t="s">
        <v>1426</v>
      </c>
      <c r="B82" s="13" t="s">
        <v>1427</v>
      </c>
      <c r="C82" s="12" t="n">
        <v>4</v>
      </c>
      <c r="D82" s="12" t="s">
        <v>944</v>
      </c>
      <c r="E82" s="12" t="s">
        <v>1428</v>
      </c>
      <c r="F82" s="12" t="s">
        <v>1429</v>
      </c>
      <c r="G82" s="12" t="s">
        <v>59</v>
      </c>
      <c r="H82" s="14" t="s">
        <v>1077</v>
      </c>
      <c r="I82" s="14" t="s">
        <v>1078</v>
      </c>
      <c r="J82" s="14"/>
      <c r="K82" s="14"/>
      <c r="L82" s="14"/>
      <c r="M82" s="14"/>
      <c r="N82" s="12" t="s">
        <v>1079</v>
      </c>
    </row>
    <row r="83" customFormat="false" ht="15" hidden="false" customHeight="true" outlineLevel="0" collapsed="false">
      <c r="A83" s="12" t="s">
        <v>1430</v>
      </c>
      <c r="B83" s="13" t="s">
        <v>76</v>
      </c>
      <c r="C83" s="12" t="n">
        <v>4</v>
      </c>
      <c r="D83" s="12" t="s">
        <v>944</v>
      </c>
      <c r="E83" s="12" t="s">
        <v>945</v>
      </c>
      <c r="F83" s="12" t="s">
        <v>1431</v>
      </c>
      <c r="G83" s="12" t="s">
        <v>53</v>
      </c>
      <c r="H83" s="14" t="s">
        <v>1090</v>
      </c>
      <c r="I83" s="14" t="s">
        <v>1432</v>
      </c>
      <c r="J83" s="14" t="s">
        <v>1135</v>
      </c>
      <c r="K83" s="14" t="s">
        <v>1093</v>
      </c>
      <c r="L83" s="14" t="s">
        <v>1433</v>
      </c>
      <c r="M83" s="14" t="s">
        <v>1434</v>
      </c>
      <c r="N83" s="12" t="s">
        <v>1079</v>
      </c>
    </row>
    <row r="84" customFormat="false" ht="15" hidden="false" customHeight="true" outlineLevel="0" collapsed="false">
      <c r="A84" s="12" t="s">
        <v>1435</v>
      </c>
      <c r="B84" s="13" t="s">
        <v>93</v>
      </c>
      <c r="C84" s="12" t="n">
        <v>4</v>
      </c>
      <c r="D84" s="12" t="s">
        <v>944</v>
      </c>
      <c r="E84" s="12" t="s">
        <v>1001</v>
      </c>
      <c r="F84" s="12" t="s">
        <v>1436</v>
      </c>
      <c r="G84" s="12" t="s">
        <v>59</v>
      </c>
      <c r="H84" s="14" t="s">
        <v>1077</v>
      </c>
      <c r="I84" s="14" t="s">
        <v>1086</v>
      </c>
      <c r="J84" s="14"/>
      <c r="K84" s="14"/>
      <c r="L84" s="14"/>
      <c r="M84" s="14"/>
      <c r="N84" s="12" t="s">
        <v>1079</v>
      </c>
    </row>
    <row r="85" customFormat="false" ht="23.25" hidden="false" customHeight="true" outlineLevel="0" collapsed="false">
      <c r="A85" s="12" t="s">
        <v>1437</v>
      </c>
      <c r="B85" s="13" t="s">
        <v>817</v>
      </c>
      <c r="C85" s="12" t="n">
        <v>12</v>
      </c>
      <c r="D85" s="12" t="s">
        <v>1010</v>
      </c>
      <c r="E85" s="12" t="s">
        <v>656</v>
      </c>
      <c r="F85" s="12" t="s">
        <v>1438</v>
      </c>
      <c r="G85" s="12" t="s">
        <v>59</v>
      </c>
      <c r="H85" s="14" t="s">
        <v>372</v>
      </c>
      <c r="I85" s="14" t="s">
        <v>1439</v>
      </c>
      <c r="J85" s="14" t="s">
        <v>1155</v>
      </c>
      <c r="K85" s="14" t="s">
        <v>1093</v>
      </c>
      <c r="L85" s="14" t="s">
        <v>1440</v>
      </c>
      <c r="M85" s="14" t="s">
        <v>1441</v>
      </c>
      <c r="N85" s="12" t="s">
        <v>1079</v>
      </c>
    </row>
    <row r="86" customFormat="false" ht="23.25" hidden="false" customHeight="true" outlineLevel="0" collapsed="false">
      <c r="A86" s="12" t="s">
        <v>1442</v>
      </c>
      <c r="B86" s="13" t="s">
        <v>1443</v>
      </c>
      <c r="C86" s="12" t="n">
        <v>17</v>
      </c>
      <c r="D86" s="12" t="s">
        <v>1010</v>
      </c>
      <c r="E86" s="12" t="s">
        <v>1444</v>
      </c>
      <c r="F86" s="12" t="s">
        <v>1445</v>
      </c>
      <c r="G86" s="12" t="s">
        <v>59</v>
      </c>
      <c r="H86" s="14" t="s">
        <v>1077</v>
      </c>
      <c r="I86" s="14" t="s">
        <v>1078</v>
      </c>
      <c r="J86" s="14"/>
      <c r="K86" s="14"/>
      <c r="L86" s="14"/>
      <c r="M86" s="14"/>
      <c r="N86" s="12" t="s">
        <v>1079</v>
      </c>
    </row>
    <row r="87" customFormat="false" ht="15" hidden="false" customHeight="true" outlineLevel="0" collapsed="false">
      <c r="A87" s="12" t="s">
        <v>1446</v>
      </c>
      <c r="B87" s="13" t="s">
        <v>1447</v>
      </c>
      <c r="C87" s="12" t="n">
        <v>18</v>
      </c>
      <c r="D87" s="12" t="s">
        <v>1010</v>
      </c>
      <c r="E87" s="12" t="s">
        <v>1027</v>
      </c>
      <c r="F87" s="12" t="s">
        <v>1448</v>
      </c>
      <c r="G87" s="12" t="s">
        <v>59</v>
      </c>
      <c r="H87" s="14" t="s">
        <v>1077</v>
      </c>
      <c r="I87" s="14" t="s">
        <v>1078</v>
      </c>
      <c r="J87" s="14"/>
      <c r="K87" s="14"/>
      <c r="L87" s="14"/>
      <c r="M87" s="14"/>
      <c r="N87" s="12" t="s">
        <v>1079</v>
      </c>
    </row>
    <row r="88" customFormat="false" ht="15" hidden="false" customHeight="true" outlineLevel="0" collapsed="false">
      <c r="A88" s="12" t="s">
        <v>1449</v>
      </c>
      <c r="B88" s="13" t="s">
        <v>1450</v>
      </c>
      <c r="C88" s="12" t="n">
        <v>18</v>
      </c>
      <c r="D88" s="12" t="s">
        <v>1010</v>
      </c>
      <c r="E88" s="12" t="s">
        <v>1061</v>
      </c>
      <c r="F88" s="12" t="s">
        <v>1451</v>
      </c>
      <c r="G88" s="12" t="s">
        <v>59</v>
      </c>
      <c r="H88" s="14" t="s">
        <v>1077</v>
      </c>
      <c r="I88" s="14" t="s">
        <v>1078</v>
      </c>
      <c r="J88" s="14"/>
      <c r="K88" s="14"/>
      <c r="L88" s="14"/>
      <c r="M88" s="14"/>
      <c r="N88" s="12" t="s">
        <v>1079</v>
      </c>
    </row>
    <row r="89" customFormat="false" ht="23.25" hidden="false" customHeight="true" outlineLevel="0" collapsed="false">
      <c r="A89" s="12" t="s">
        <v>1452</v>
      </c>
      <c r="B89" s="13" t="s">
        <v>1453</v>
      </c>
      <c r="C89" s="12" t="n">
        <v>18</v>
      </c>
      <c r="D89" s="12" t="s">
        <v>1010</v>
      </c>
      <c r="E89" s="12" t="s">
        <v>1011</v>
      </c>
      <c r="F89" s="12" t="s">
        <v>1454</v>
      </c>
      <c r="G89" s="12" t="s">
        <v>59</v>
      </c>
      <c r="H89" s="14" t="s">
        <v>1077</v>
      </c>
      <c r="I89" s="14" t="s">
        <v>1078</v>
      </c>
      <c r="J89" s="14"/>
      <c r="K89" s="14"/>
      <c r="L89" s="14"/>
      <c r="M89" s="14"/>
      <c r="N89" s="12" t="s">
        <v>1079</v>
      </c>
    </row>
  </sheetData>
  <autoFilter ref="A1:N89"/>
  <conditionalFormatting sqref="H2:H149">
    <cfRule type="cellIs" priority="2" operator="equal" aboveAverage="0" equalAverage="0" bottom="0" percent="0" rank="0" text="" dxfId="11">
      <formula>"Concluída"</formula>
    </cfRule>
    <cfRule type="cellIs" priority="3" operator="equal" aboveAverage="0" equalAverage="0" bottom="0" percent="0" rank="0" text="" dxfId="12">
      <formula>"Em andamento"</formula>
    </cfRule>
    <cfRule type="cellIs" priority="4" operator="equal" aboveAverage="0" equalAverage="0" bottom="0" percent="0" rank="0" text="" dxfId="13">
      <formula>"Sem dados"</formula>
    </cfRule>
  </conditionalFormatting>
  <dataValidations count="2">
    <dataValidation allowBlank="false" errorStyle="stop" operator="between" showDropDown="false" showErrorMessage="false" showInputMessage="false" sqref="H2:H149" type="list">
      <formula1>"Não iniciada,Em andamento,Concluída,Sem dados"</formula1>
      <formula2>0</formula2>
    </dataValidation>
    <dataValidation allowBlank="true" errorStyle="stop" operator="between" showDropDown="false" showErrorMessage="false" showInputMessage="false" sqref="K2:K149" type="list">
      <formula1>"Oficial,Agência pública,Imprensa"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48"/>
    <col collapsed="false" customWidth="true" hidden="false" outlineLevel="0" max="8" min="8" style="1" width="20"/>
    <col collapsed="false" customWidth="true" hidden="false" outlineLevel="0" max="9" min="9" style="1" width="30"/>
    <col collapsed="false" customWidth="true" hidden="false" outlineLevel="0" max="10" min="10" style="1" width="26"/>
    <col collapsed="false" customWidth="true" hidden="false" outlineLevel="0" max="11" min="11" style="1" width="18"/>
  </cols>
  <sheetData>
    <row r="1" customFormat="false" ht="31.5" hidden="false" customHeight="true" outlineLevel="0" collapsed="false">
      <c r="A1" s="6" t="s">
        <v>1455</v>
      </c>
      <c r="B1" s="6" t="s">
        <v>1456</v>
      </c>
      <c r="C1" s="6" t="s">
        <v>1457</v>
      </c>
      <c r="D1" s="6" t="s">
        <v>1458</v>
      </c>
      <c r="E1" s="6" t="s">
        <v>1459</v>
      </c>
      <c r="F1" s="6" t="s">
        <v>1460</v>
      </c>
      <c r="G1" s="6" t="s">
        <v>1461</v>
      </c>
      <c r="H1" s="6" t="s">
        <v>1462</v>
      </c>
      <c r="I1" s="6" t="s">
        <v>47</v>
      </c>
      <c r="J1" s="6" t="s">
        <v>1463</v>
      </c>
      <c r="K1" s="6" t="s">
        <v>1464</v>
      </c>
    </row>
    <row r="2" customFormat="false" ht="15" hidden="false" customHeight="true" outlineLevel="0" collapsed="false">
      <c r="A2" s="15"/>
      <c r="B2" s="15"/>
      <c r="C2" s="16"/>
      <c r="D2" s="16"/>
      <c r="E2" s="17"/>
      <c r="F2" s="15"/>
      <c r="G2" s="15"/>
      <c r="H2" s="15"/>
      <c r="I2" s="15"/>
      <c r="J2" s="18" t="str">
        <f aca="false">IF(A2="","",IFERROR(INDEX(Propostas!$B:$B,MATCH(A2,Propostas!$A:$A,0)),IFERROR(INDEX('Lula 2022 (2023-2026)'!$D:$D,MATCH(A2,'Lula 2022 (2023-2026)'!$A:$A,0)),"ID inexistente")))</f>
        <v/>
      </c>
      <c r="K2" s="18" t="str">
        <f aca="false">IF(A2="","",IF(AND(ISNA(MATCH(A2,Propostas!$A:$A,0)),ISNA(MATCH(A2,'Lula 2022 (2023-2026)'!$A:$A,0))),"ID inexistente",IF(OR(F2="",NOT(ISNUMBER(E2))),"Sem fonte ou data",IF(NOT(AND(LEFT(G2,8)="https://",OR(ISNUMBER(SEARCH(".gov.br",G2)),ISNUMBER(SEARCH(".leg.br",G2)),ISNUMBER(SEARCH(".jus.br",G2)),ISNUMBER(SEARCH(".mp.br",G2))))),"Sem link oficial",IF(OR(NOT(ISNUMBER(C2)),NOT(ISNUMBER(D2)),D2&lt;0,D2&gt;C2),"Valor inválido","Verificável")))))</f>
        <v/>
      </c>
    </row>
    <row r="3" customFormat="false" ht="15" hidden="false" customHeight="true" outlineLevel="0" collapsed="false">
      <c r="A3" s="15"/>
      <c r="B3" s="15"/>
      <c r="C3" s="16"/>
      <c r="D3" s="16"/>
      <c r="E3" s="17"/>
      <c r="F3" s="15"/>
      <c r="G3" s="15"/>
      <c r="H3" s="15"/>
      <c r="I3" s="15"/>
      <c r="J3" s="18" t="str">
        <f aca="false">IF(A3="","",IFERROR(INDEX(Propostas!$B:$B,MATCH(A3,Propostas!$A:$A,0)),IFERROR(INDEX('Lula 2022 (2023-2026)'!$D:$D,MATCH(A3,'Lula 2022 (2023-2026)'!$A:$A,0)),"ID inexistente")))</f>
        <v/>
      </c>
      <c r="K3" s="18" t="str">
        <f aca="false">IF(A3="","",IF(AND(ISNA(MATCH(A3,Propostas!$A:$A,0)),ISNA(MATCH(A3,'Lula 2022 (2023-2026)'!$A:$A,0))),"ID inexistente",IF(OR(F3="",NOT(ISNUMBER(E3))),"Sem fonte ou data",IF(NOT(AND(LEFT(G3,8)="https://",OR(ISNUMBER(SEARCH(".gov.br",G3)),ISNUMBER(SEARCH(".leg.br",G3)),ISNUMBER(SEARCH(".jus.br",G3)),ISNUMBER(SEARCH(".mp.br",G3))))),"Sem link oficial",IF(OR(NOT(ISNUMBER(C3)),NOT(ISNUMBER(D3)),D3&lt;0,D3&gt;C3),"Valor inválido","Verificável")))))</f>
        <v/>
      </c>
    </row>
    <row r="4" customFormat="false" ht="15" hidden="false" customHeight="true" outlineLevel="0" collapsed="false">
      <c r="A4" s="15"/>
      <c r="B4" s="15"/>
      <c r="C4" s="16"/>
      <c r="D4" s="16"/>
      <c r="E4" s="17"/>
      <c r="F4" s="15"/>
      <c r="G4" s="15"/>
      <c r="H4" s="15"/>
      <c r="I4" s="15"/>
      <c r="J4" s="18" t="str">
        <f aca="false">IF(A4="","",IFERROR(INDEX(Propostas!$B:$B,MATCH(A4,Propostas!$A:$A,0)),IFERROR(INDEX('Lula 2022 (2023-2026)'!$D:$D,MATCH(A4,'Lula 2022 (2023-2026)'!$A:$A,0)),"ID inexistente")))</f>
        <v/>
      </c>
      <c r="K4" s="18" t="str">
        <f aca="false">IF(A4="","",IF(AND(ISNA(MATCH(A4,Propostas!$A:$A,0)),ISNA(MATCH(A4,'Lula 2022 (2023-2026)'!$A:$A,0))),"ID inexistente",IF(OR(F4="",NOT(ISNUMBER(E4))),"Sem fonte ou data",IF(NOT(AND(LEFT(G4,8)="https://",OR(ISNUMBER(SEARCH(".gov.br",G4)),ISNUMBER(SEARCH(".leg.br",G4)),ISNUMBER(SEARCH(".jus.br",G4)),ISNUMBER(SEARCH(".mp.br",G4))))),"Sem link oficial",IF(OR(NOT(ISNUMBER(C4)),NOT(ISNUMBER(D4)),D4&lt;0,D4&gt;C4),"Valor inválido","Verificável")))))</f>
        <v/>
      </c>
    </row>
    <row r="5" customFormat="false" ht="15" hidden="false" customHeight="true" outlineLevel="0" collapsed="false">
      <c r="A5" s="15"/>
      <c r="B5" s="15"/>
      <c r="C5" s="16"/>
      <c r="D5" s="16"/>
      <c r="E5" s="17"/>
      <c r="F5" s="15"/>
      <c r="G5" s="15"/>
      <c r="H5" s="15"/>
      <c r="I5" s="15"/>
      <c r="J5" s="18" t="str">
        <f aca="false">IF(A5="","",IFERROR(INDEX(Propostas!$B:$B,MATCH(A5,Propostas!$A:$A,0)),IFERROR(INDEX('Lula 2022 (2023-2026)'!$D:$D,MATCH(A5,'Lula 2022 (2023-2026)'!$A:$A,0)),"ID inexistente")))</f>
        <v/>
      </c>
      <c r="K5" s="18" t="str">
        <f aca="false">IF(A5="","",IF(AND(ISNA(MATCH(A5,Propostas!$A:$A,0)),ISNA(MATCH(A5,'Lula 2022 (2023-2026)'!$A:$A,0))),"ID inexistente",IF(OR(F5="",NOT(ISNUMBER(E5))),"Sem fonte ou data",IF(NOT(AND(LEFT(G5,8)="https://",OR(ISNUMBER(SEARCH(".gov.br",G5)),ISNUMBER(SEARCH(".leg.br",G5)),ISNUMBER(SEARCH(".jus.br",G5)),ISNUMBER(SEARCH(".mp.br",G5))))),"Sem link oficial",IF(OR(NOT(ISNUMBER(C5)),NOT(ISNUMBER(D5)),D5&lt;0,D5&gt;C5),"Valor inválido","Verificável")))))</f>
        <v/>
      </c>
    </row>
    <row r="6" customFormat="false" ht="15" hidden="false" customHeight="true" outlineLevel="0" collapsed="false">
      <c r="A6" s="15"/>
      <c r="B6" s="15"/>
      <c r="C6" s="16"/>
      <c r="D6" s="16"/>
      <c r="E6" s="17"/>
      <c r="F6" s="15"/>
      <c r="G6" s="15"/>
      <c r="H6" s="15"/>
      <c r="I6" s="15"/>
      <c r="J6" s="18" t="str">
        <f aca="false">IF(A6="","",IFERROR(INDEX(Propostas!$B:$B,MATCH(A6,Propostas!$A:$A,0)),IFERROR(INDEX('Lula 2022 (2023-2026)'!$D:$D,MATCH(A6,'Lula 2022 (2023-2026)'!$A:$A,0)),"ID inexistente")))</f>
        <v/>
      </c>
      <c r="K6" s="18" t="str">
        <f aca="false">IF(A6="","",IF(AND(ISNA(MATCH(A6,Propostas!$A:$A,0)),ISNA(MATCH(A6,'Lula 2022 (2023-2026)'!$A:$A,0))),"ID inexistente",IF(OR(F6="",NOT(ISNUMBER(E6))),"Sem fonte ou data",IF(NOT(AND(LEFT(G6,8)="https://",OR(ISNUMBER(SEARCH(".gov.br",G6)),ISNUMBER(SEARCH(".leg.br",G6)),ISNUMBER(SEARCH(".jus.br",G6)),ISNUMBER(SEARCH(".mp.br",G6))))),"Sem link oficial",IF(OR(NOT(ISNUMBER(C6)),NOT(ISNUMBER(D6)),D6&lt;0,D6&gt;C6),"Valor inválido","Verificável")))))</f>
        <v/>
      </c>
    </row>
    <row r="7" customFormat="false" ht="15" hidden="false" customHeight="true" outlineLevel="0" collapsed="false">
      <c r="A7" s="15"/>
      <c r="B7" s="15"/>
      <c r="C7" s="16"/>
      <c r="D7" s="16"/>
      <c r="E7" s="17"/>
      <c r="F7" s="15"/>
      <c r="G7" s="15"/>
      <c r="H7" s="15"/>
      <c r="I7" s="15"/>
      <c r="J7" s="18" t="str">
        <f aca="false">IF(A7="","",IFERROR(INDEX(Propostas!$B:$B,MATCH(A7,Propostas!$A:$A,0)),IFERROR(INDEX('Lula 2022 (2023-2026)'!$D:$D,MATCH(A7,'Lula 2022 (2023-2026)'!$A:$A,0)),"ID inexistente")))</f>
        <v/>
      </c>
      <c r="K7" s="18" t="str">
        <f aca="false">IF(A7="","",IF(AND(ISNA(MATCH(A7,Propostas!$A:$A,0)),ISNA(MATCH(A7,'Lula 2022 (2023-2026)'!$A:$A,0))),"ID inexistente",IF(OR(F7="",NOT(ISNUMBER(E7))),"Sem fonte ou data",IF(NOT(AND(LEFT(G7,8)="https://",OR(ISNUMBER(SEARCH(".gov.br",G7)),ISNUMBER(SEARCH(".leg.br",G7)),ISNUMBER(SEARCH(".jus.br",G7)),ISNUMBER(SEARCH(".mp.br",G7))))),"Sem link oficial",IF(OR(NOT(ISNUMBER(C7)),NOT(ISNUMBER(D7)),D7&lt;0,D7&gt;C7),"Valor inválido","Verificável")))))</f>
        <v/>
      </c>
    </row>
    <row r="8" customFormat="false" ht="15" hidden="false" customHeight="true" outlineLevel="0" collapsed="false">
      <c r="A8" s="15"/>
      <c r="B8" s="15"/>
      <c r="C8" s="16"/>
      <c r="D8" s="16"/>
      <c r="E8" s="17"/>
      <c r="F8" s="15"/>
      <c r="G8" s="15"/>
      <c r="H8" s="15"/>
      <c r="I8" s="15"/>
      <c r="J8" s="18" t="str">
        <f aca="false">IF(A8="","",IFERROR(INDEX(Propostas!$B:$B,MATCH(A8,Propostas!$A:$A,0)),IFERROR(INDEX('Lula 2022 (2023-2026)'!$D:$D,MATCH(A8,'Lula 2022 (2023-2026)'!$A:$A,0)),"ID inexistente")))</f>
        <v/>
      </c>
      <c r="K8" s="18" t="str">
        <f aca="false">IF(A8="","",IF(AND(ISNA(MATCH(A8,Propostas!$A:$A,0)),ISNA(MATCH(A8,'Lula 2022 (2023-2026)'!$A:$A,0))),"ID inexistente",IF(OR(F8="",NOT(ISNUMBER(E8))),"Sem fonte ou data",IF(NOT(AND(LEFT(G8,8)="https://",OR(ISNUMBER(SEARCH(".gov.br",G8)),ISNUMBER(SEARCH(".leg.br",G8)),ISNUMBER(SEARCH(".jus.br",G8)),ISNUMBER(SEARCH(".mp.br",G8))))),"Sem link oficial",IF(OR(NOT(ISNUMBER(C8)),NOT(ISNUMBER(D8)),D8&lt;0,D8&gt;C8),"Valor inválido","Verificável")))))</f>
        <v/>
      </c>
    </row>
    <row r="9" customFormat="false" ht="15" hidden="false" customHeight="true" outlineLevel="0" collapsed="false">
      <c r="A9" s="15"/>
      <c r="B9" s="15"/>
      <c r="C9" s="16"/>
      <c r="D9" s="16"/>
      <c r="E9" s="17"/>
      <c r="F9" s="15"/>
      <c r="G9" s="15"/>
      <c r="H9" s="15"/>
      <c r="I9" s="15"/>
      <c r="J9" s="18" t="str">
        <f aca="false">IF(A9="","",IFERROR(INDEX(Propostas!$B:$B,MATCH(A9,Propostas!$A:$A,0)),IFERROR(INDEX('Lula 2022 (2023-2026)'!$D:$D,MATCH(A9,'Lula 2022 (2023-2026)'!$A:$A,0)),"ID inexistente")))</f>
        <v/>
      </c>
      <c r="K9" s="18" t="str">
        <f aca="false">IF(A9="","",IF(AND(ISNA(MATCH(A9,Propostas!$A:$A,0)),ISNA(MATCH(A9,'Lula 2022 (2023-2026)'!$A:$A,0))),"ID inexistente",IF(OR(F9="",NOT(ISNUMBER(E9))),"Sem fonte ou data",IF(NOT(AND(LEFT(G9,8)="https://",OR(ISNUMBER(SEARCH(".gov.br",G9)),ISNUMBER(SEARCH(".leg.br",G9)),ISNUMBER(SEARCH(".jus.br",G9)),ISNUMBER(SEARCH(".mp.br",G9))))),"Sem link oficial",IF(OR(NOT(ISNUMBER(C9)),NOT(ISNUMBER(D9)),D9&lt;0,D9&gt;C9),"Valor inválido","Verificável")))))</f>
        <v/>
      </c>
    </row>
    <row r="10" customFormat="false" ht="15" hidden="false" customHeight="true" outlineLevel="0" collapsed="false">
      <c r="A10" s="15"/>
      <c r="B10" s="15"/>
      <c r="C10" s="16"/>
      <c r="D10" s="16"/>
      <c r="E10" s="17"/>
      <c r="F10" s="15"/>
      <c r="G10" s="15"/>
      <c r="H10" s="15"/>
      <c r="I10" s="15"/>
      <c r="J10" s="18" t="str">
        <f aca="false">IF(A10="","",IFERROR(INDEX(Propostas!$B:$B,MATCH(A10,Propostas!$A:$A,0)),IFERROR(INDEX('Lula 2022 (2023-2026)'!$D:$D,MATCH(A10,'Lula 2022 (2023-2026)'!$A:$A,0)),"ID inexistente")))</f>
        <v/>
      </c>
      <c r="K10" s="18" t="str">
        <f aca="false">IF(A10="","",IF(AND(ISNA(MATCH(A10,Propostas!$A:$A,0)),ISNA(MATCH(A10,'Lula 2022 (2023-2026)'!$A:$A,0))),"ID inexistente",IF(OR(F10="",NOT(ISNUMBER(E10))),"Sem fonte ou data",IF(NOT(AND(LEFT(G10,8)="https://",OR(ISNUMBER(SEARCH(".gov.br",G10)),ISNUMBER(SEARCH(".leg.br",G10)),ISNUMBER(SEARCH(".jus.br",G10)),ISNUMBER(SEARCH(".mp.br",G10))))),"Sem link oficial",IF(OR(NOT(ISNUMBER(C10)),NOT(ISNUMBER(D10)),D10&lt;0,D10&gt;C10),"Valor inválido","Verificável")))))</f>
        <v/>
      </c>
    </row>
    <row r="11" customFormat="false" ht="15" hidden="false" customHeight="true" outlineLevel="0" collapsed="false">
      <c r="A11" s="15"/>
      <c r="B11" s="15"/>
      <c r="C11" s="16"/>
      <c r="D11" s="16"/>
      <c r="E11" s="17"/>
      <c r="F11" s="15"/>
      <c r="G11" s="15"/>
      <c r="H11" s="15"/>
      <c r="I11" s="15"/>
      <c r="J11" s="18" t="str">
        <f aca="false">IF(A11="","",IFERROR(INDEX(Propostas!$B:$B,MATCH(A11,Propostas!$A:$A,0)),IFERROR(INDEX('Lula 2022 (2023-2026)'!$D:$D,MATCH(A11,'Lula 2022 (2023-2026)'!$A:$A,0)),"ID inexistente")))</f>
        <v/>
      </c>
      <c r="K11" s="18" t="str">
        <f aca="false">IF(A11="","",IF(AND(ISNA(MATCH(A11,Propostas!$A:$A,0)),ISNA(MATCH(A11,'Lula 2022 (2023-2026)'!$A:$A,0))),"ID inexistente",IF(OR(F11="",NOT(ISNUMBER(E11))),"Sem fonte ou data",IF(NOT(AND(LEFT(G11,8)="https://",OR(ISNUMBER(SEARCH(".gov.br",G11)),ISNUMBER(SEARCH(".leg.br",G11)),ISNUMBER(SEARCH(".jus.br",G11)),ISNUMBER(SEARCH(".mp.br",G11))))),"Sem link oficial",IF(OR(NOT(ISNUMBER(C11)),NOT(ISNUMBER(D11)),D11&lt;0,D11&gt;C11),"Valor inválido","Verificável")))))</f>
        <v/>
      </c>
    </row>
    <row r="12" customFormat="false" ht="15" hidden="false" customHeight="true" outlineLevel="0" collapsed="false">
      <c r="A12" s="15"/>
      <c r="B12" s="15"/>
      <c r="C12" s="16"/>
      <c r="D12" s="16"/>
      <c r="E12" s="17"/>
      <c r="F12" s="15"/>
      <c r="G12" s="15"/>
      <c r="H12" s="15"/>
      <c r="I12" s="15"/>
      <c r="J12" s="18" t="str">
        <f aca="false">IF(A12="","",IFERROR(INDEX(Propostas!$B:$B,MATCH(A12,Propostas!$A:$A,0)),IFERROR(INDEX('Lula 2022 (2023-2026)'!$D:$D,MATCH(A12,'Lula 2022 (2023-2026)'!$A:$A,0)),"ID inexistente")))</f>
        <v/>
      </c>
      <c r="K12" s="18" t="str">
        <f aca="false">IF(A12="","",IF(AND(ISNA(MATCH(A12,Propostas!$A:$A,0)),ISNA(MATCH(A12,'Lula 2022 (2023-2026)'!$A:$A,0))),"ID inexistente",IF(OR(F12="",NOT(ISNUMBER(E12))),"Sem fonte ou data",IF(NOT(AND(LEFT(G12,8)="https://",OR(ISNUMBER(SEARCH(".gov.br",G12)),ISNUMBER(SEARCH(".leg.br",G12)),ISNUMBER(SEARCH(".jus.br",G12)),ISNUMBER(SEARCH(".mp.br",G12))))),"Sem link oficial",IF(OR(NOT(ISNUMBER(C12)),NOT(ISNUMBER(D12)),D12&lt;0,D12&gt;C12),"Valor inválido","Verificável")))))</f>
        <v/>
      </c>
    </row>
    <row r="13" customFormat="false" ht="15" hidden="false" customHeight="true" outlineLevel="0" collapsed="false">
      <c r="A13" s="15"/>
      <c r="B13" s="15"/>
      <c r="C13" s="16"/>
      <c r="D13" s="16"/>
      <c r="E13" s="17"/>
      <c r="F13" s="15"/>
      <c r="G13" s="15"/>
      <c r="H13" s="15"/>
      <c r="I13" s="15"/>
      <c r="J13" s="18" t="str">
        <f aca="false">IF(A13="","",IFERROR(INDEX(Propostas!$B:$B,MATCH(A13,Propostas!$A:$A,0)),IFERROR(INDEX('Lula 2022 (2023-2026)'!$D:$D,MATCH(A13,'Lula 2022 (2023-2026)'!$A:$A,0)),"ID inexistente")))</f>
        <v/>
      </c>
      <c r="K13" s="18" t="str">
        <f aca="false">IF(A13="","",IF(AND(ISNA(MATCH(A13,Propostas!$A:$A,0)),ISNA(MATCH(A13,'Lula 2022 (2023-2026)'!$A:$A,0))),"ID inexistente",IF(OR(F13="",NOT(ISNUMBER(E13))),"Sem fonte ou data",IF(NOT(AND(LEFT(G13,8)="https://",OR(ISNUMBER(SEARCH(".gov.br",G13)),ISNUMBER(SEARCH(".leg.br",G13)),ISNUMBER(SEARCH(".jus.br",G13)),ISNUMBER(SEARCH(".mp.br",G13))))),"Sem link oficial",IF(OR(NOT(ISNUMBER(C13)),NOT(ISNUMBER(D13)),D13&lt;0,D13&gt;C13),"Valor inválido","Verificável")))))</f>
        <v/>
      </c>
    </row>
    <row r="14" customFormat="false" ht="15" hidden="false" customHeight="true" outlineLevel="0" collapsed="false">
      <c r="A14" s="15"/>
      <c r="B14" s="15"/>
      <c r="C14" s="16"/>
      <c r="D14" s="16"/>
      <c r="E14" s="17"/>
      <c r="F14" s="15"/>
      <c r="G14" s="15"/>
      <c r="H14" s="15"/>
      <c r="I14" s="15"/>
      <c r="J14" s="18" t="str">
        <f aca="false">IF(A14="","",IFERROR(INDEX(Propostas!$B:$B,MATCH(A14,Propostas!$A:$A,0)),IFERROR(INDEX('Lula 2022 (2023-2026)'!$D:$D,MATCH(A14,'Lula 2022 (2023-2026)'!$A:$A,0)),"ID inexistente")))</f>
        <v/>
      </c>
      <c r="K14" s="18" t="str">
        <f aca="false">IF(A14="","",IF(AND(ISNA(MATCH(A14,Propostas!$A:$A,0)),ISNA(MATCH(A14,'Lula 2022 (2023-2026)'!$A:$A,0))),"ID inexistente",IF(OR(F14="",NOT(ISNUMBER(E14))),"Sem fonte ou data",IF(NOT(AND(LEFT(G14,8)="https://",OR(ISNUMBER(SEARCH(".gov.br",G14)),ISNUMBER(SEARCH(".leg.br",G14)),ISNUMBER(SEARCH(".jus.br",G14)),ISNUMBER(SEARCH(".mp.br",G14))))),"Sem link oficial",IF(OR(NOT(ISNUMBER(C14)),NOT(ISNUMBER(D14)),D14&lt;0,D14&gt;C14),"Valor inválido","Verificável")))))</f>
        <v/>
      </c>
    </row>
    <row r="15" customFormat="false" ht="15" hidden="false" customHeight="true" outlineLevel="0" collapsed="false">
      <c r="A15" s="15"/>
      <c r="B15" s="15"/>
      <c r="C15" s="16"/>
      <c r="D15" s="16"/>
      <c r="E15" s="17"/>
      <c r="F15" s="15"/>
      <c r="G15" s="15"/>
      <c r="H15" s="15"/>
      <c r="I15" s="15"/>
      <c r="J15" s="18" t="str">
        <f aca="false">IF(A15="","",IFERROR(INDEX(Propostas!$B:$B,MATCH(A15,Propostas!$A:$A,0)),IFERROR(INDEX('Lula 2022 (2023-2026)'!$D:$D,MATCH(A15,'Lula 2022 (2023-2026)'!$A:$A,0)),"ID inexistente")))</f>
        <v/>
      </c>
      <c r="K15" s="18" t="str">
        <f aca="false">IF(A15="","",IF(AND(ISNA(MATCH(A15,Propostas!$A:$A,0)),ISNA(MATCH(A15,'Lula 2022 (2023-2026)'!$A:$A,0))),"ID inexistente",IF(OR(F15="",NOT(ISNUMBER(E15))),"Sem fonte ou data",IF(NOT(AND(LEFT(G15,8)="https://",OR(ISNUMBER(SEARCH(".gov.br",G15)),ISNUMBER(SEARCH(".leg.br",G15)),ISNUMBER(SEARCH(".jus.br",G15)),ISNUMBER(SEARCH(".mp.br",G15))))),"Sem link oficial",IF(OR(NOT(ISNUMBER(C15)),NOT(ISNUMBER(D15)),D15&lt;0,D15&gt;C15),"Valor inválido","Verificável")))))</f>
        <v/>
      </c>
    </row>
    <row r="16" customFormat="false" ht="15" hidden="false" customHeight="true" outlineLevel="0" collapsed="false">
      <c r="A16" s="15"/>
      <c r="B16" s="15"/>
      <c r="C16" s="16"/>
      <c r="D16" s="16"/>
      <c r="E16" s="17"/>
      <c r="F16" s="15"/>
      <c r="G16" s="15"/>
      <c r="H16" s="15"/>
      <c r="I16" s="15"/>
      <c r="J16" s="18" t="str">
        <f aca="false">IF(A16="","",IFERROR(INDEX(Propostas!$B:$B,MATCH(A16,Propostas!$A:$A,0)),IFERROR(INDEX('Lula 2022 (2023-2026)'!$D:$D,MATCH(A16,'Lula 2022 (2023-2026)'!$A:$A,0)),"ID inexistente")))</f>
        <v/>
      </c>
      <c r="K16" s="18" t="str">
        <f aca="false">IF(A16="","",IF(AND(ISNA(MATCH(A16,Propostas!$A:$A,0)),ISNA(MATCH(A16,'Lula 2022 (2023-2026)'!$A:$A,0))),"ID inexistente",IF(OR(F16="",NOT(ISNUMBER(E16))),"Sem fonte ou data",IF(NOT(AND(LEFT(G16,8)="https://",OR(ISNUMBER(SEARCH(".gov.br",G16)),ISNUMBER(SEARCH(".leg.br",G16)),ISNUMBER(SEARCH(".jus.br",G16)),ISNUMBER(SEARCH(".mp.br",G16))))),"Sem link oficial",IF(OR(NOT(ISNUMBER(C16)),NOT(ISNUMBER(D16)),D16&lt;0,D16&gt;C16),"Valor inválido","Verificável")))))</f>
        <v/>
      </c>
    </row>
    <row r="17" customFormat="false" ht="15" hidden="false" customHeight="true" outlineLevel="0" collapsed="false">
      <c r="A17" s="15"/>
      <c r="B17" s="15"/>
      <c r="C17" s="16"/>
      <c r="D17" s="16"/>
      <c r="E17" s="17"/>
      <c r="F17" s="15"/>
      <c r="G17" s="15"/>
      <c r="H17" s="15"/>
      <c r="I17" s="15"/>
      <c r="J17" s="18" t="str">
        <f aca="false">IF(A17="","",IFERROR(INDEX(Propostas!$B:$B,MATCH(A17,Propostas!$A:$A,0)),IFERROR(INDEX('Lula 2022 (2023-2026)'!$D:$D,MATCH(A17,'Lula 2022 (2023-2026)'!$A:$A,0)),"ID inexistente")))</f>
        <v/>
      </c>
      <c r="K17" s="18" t="str">
        <f aca="false">IF(A17="","",IF(AND(ISNA(MATCH(A17,Propostas!$A:$A,0)),ISNA(MATCH(A17,'Lula 2022 (2023-2026)'!$A:$A,0))),"ID inexistente",IF(OR(F17="",NOT(ISNUMBER(E17))),"Sem fonte ou data",IF(NOT(AND(LEFT(G17,8)="https://",OR(ISNUMBER(SEARCH(".gov.br",G17)),ISNUMBER(SEARCH(".leg.br",G17)),ISNUMBER(SEARCH(".jus.br",G17)),ISNUMBER(SEARCH(".mp.br",G17))))),"Sem link oficial",IF(OR(NOT(ISNUMBER(C17)),NOT(ISNUMBER(D17)),D17&lt;0,D17&gt;C17),"Valor inválido","Verificável")))))</f>
        <v/>
      </c>
    </row>
    <row r="18" customFormat="false" ht="15" hidden="false" customHeight="true" outlineLevel="0" collapsed="false">
      <c r="A18" s="15"/>
      <c r="B18" s="15"/>
      <c r="C18" s="16"/>
      <c r="D18" s="16"/>
      <c r="E18" s="17"/>
      <c r="F18" s="15"/>
      <c r="G18" s="15"/>
      <c r="H18" s="15"/>
      <c r="I18" s="15"/>
      <c r="J18" s="18" t="str">
        <f aca="false">IF(A18="","",IFERROR(INDEX(Propostas!$B:$B,MATCH(A18,Propostas!$A:$A,0)),IFERROR(INDEX('Lula 2022 (2023-2026)'!$D:$D,MATCH(A18,'Lula 2022 (2023-2026)'!$A:$A,0)),"ID inexistente")))</f>
        <v/>
      </c>
      <c r="K18" s="18" t="str">
        <f aca="false">IF(A18="","",IF(AND(ISNA(MATCH(A18,Propostas!$A:$A,0)),ISNA(MATCH(A18,'Lula 2022 (2023-2026)'!$A:$A,0))),"ID inexistente",IF(OR(F18="",NOT(ISNUMBER(E18))),"Sem fonte ou data",IF(NOT(AND(LEFT(G18,8)="https://",OR(ISNUMBER(SEARCH(".gov.br",G18)),ISNUMBER(SEARCH(".leg.br",G18)),ISNUMBER(SEARCH(".jus.br",G18)),ISNUMBER(SEARCH(".mp.br",G18))))),"Sem link oficial",IF(OR(NOT(ISNUMBER(C18)),NOT(ISNUMBER(D18)),D18&lt;0,D18&gt;C18),"Valor inválido","Verificável")))))</f>
        <v/>
      </c>
    </row>
    <row r="19" customFormat="false" ht="15" hidden="false" customHeight="true" outlineLevel="0" collapsed="false">
      <c r="A19" s="15"/>
      <c r="B19" s="15"/>
      <c r="C19" s="16"/>
      <c r="D19" s="16"/>
      <c r="E19" s="17"/>
      <c r="F19" s="15"/>
      <c r="G19" s="15"/>
      <c r="H19" s="15"/>
      <c r="I19" s="15"/>
      <c r="J19" s="18" t="str">
        <f aca="false">IF(A19="","",IFERROR(INDEX(Propostas!$B:$B,MATCH(A19,Propostas!$A:$A,0)),IFERROR(INDEX('Lula 2022 (2023-2026)'!$D:$D,MATCH(A19,'Lula 2022 (2023-2026)'!$A:$A,0)),"ID inexistente")))</f>
        <v/>
      </c>
      <c r="K19" s="18" t="str">
        <f aca="false">IF(A19="","",IF(AND(ISNA(MATCH(A19,Propostas!$A:$A,0)),ISNA(MATCH(A19,'Lula 2022 (2023-2026)'!$A:$A,0))),"ID inexistente",IF(OR(F19="",NOT(ISNUMBER(E19))),"Sem fonte ou data",IF(NOT(AND(LEFT(G19,8)="https://",OR(ISNUMBER(SEARCH(".gov.br",G19)),ISNUMBER(SEARCH(".leg.br",G19)),ISNUMBER(SEARCH(".jus.br",G19)),ISNUMBER(SEARCH(".mp.br",G19))))),"Sem link oficial",IF(OR(NOT(ISNUMBER(C19)),NOT(ISNUMBER(D19)),D19&lt;0,D19&gt;C19),"Valor inválido","Verificável")))))</f>
        <v/>
      </c>
    </row>
    <row r="20" customFormat="false" ht="15" hidden="false" customHeight="true" outlineLevel="0" collapsed="false">
      <c r="A20" s="15"/>
      <c r="B20" s="15"/>
      <c r="C20" s="16"/>
      <c r="D20" s="16"/>
      <c r="E20" s="17"/>
      <c r="F20" s="15"/>
      <c r="G20" s="15"/>
      <c r="H20" s="15"/>
      <c r="I20" s="15"/>
      <c r="J20" s="18" t="str">
        <f aca="false">IF(A20="","",IFERROR(INDEX(Propostas!$B:$B,MATCH(A20,Propostas!$A:$A,0)),IFERROR(INDEX('Lula 2022 (2023-2026)'!$D:$D,MATCH(A20,'Lula 2022 (2023-2026)'!$A:$A,0)),"ID inexistente")))</f>
        <v/>
      </c>
      <c r="K20" s="18" t="str">
        <f aca="false">IF(A20="","",IF(AND(ISNA(MATCH(A20,Propostas!$A:$A,0)),ISNA(MATCH(A20,'Lula 2022 (2023-2026)'!$A:$A,0))),"ID inexistente",IF(OR(F20="",NOT(ISNUMBER(E20))),"Sem fonte ou data",IF(NOT(AND(LEFT(G20,8)="https://",OR(ISNUMBER(SEARCH(".gov.br",G20)),ISNUMBER(SEARCH(".leg.br",G20)),ISNUMBER(SEARCH(".jus.br",G20)),ISNUMBER(SEARCH(".mp.br",G20))))),"Sem link oficial",IF(OR(NOT(ISNUMBER(C20)),NOT(ISNUMBER(D20)),D20&lt;0,D20&gt;C20),"Valor inválido","Verificável")))))</f>
        <v/>
      </c>
    </row>
    <row r="21" customFormat="false" ht="15" hidden="false" customHeight="true" outlineLevel="0" collapsed="false">
      <c r="A21" s="15"/>
      <c r="B21" s="15"/>
      <c r="C21" s="16"/>
      <c r="D21" s="16"/>
      <c r="E21" s="17"/>
      <c r="F21" s="15"/>
      <c r="G21" s="15"/>
      <c r="H21" s="15"/>
      <c r="I21" s="15"/>
      <c r="J21" s="18" t="str">
        <f aca="false">IF(A21="","",IFERROR(INDEX(Propostas!$B:$B,MATCH(A21,Propostas!$A:$A,0)),IFERROR(INDEX('Lula 2022 (2023-2026)'!$D:$D,MATCH(A21,'Lula 2022 (2023-2026)'!$A:$A,0)),"ID inexistente")))</f>
        <v/>
      </c>
      <c r="K21" s="18" t="str">
        <f aca="false">IF(A21="","",IF(AND(ISNA(MATCH(A21,Propostas!$A:$A,0)),ISNA(MATCH(A21,'Lula 2022 (2023-2026)'!$A:$A,0))),"ID inexistente",IF(OR(F21="",NOT(ISNUMBER(E21))),"Sem fonte ou data",IF(NOT(AND(LEFT(G21,8)="https://",OR(ISNUMBER(SEARCH(".gov.br",G21)),ISNUMBER(SEARCH(".leg.br",G21)),ISNUMBER(SEARCH(".jus.br",G21)),ISNUMBER(SEARCH(".mp.br",G21))))),"Sem link oficial",IF(OR(NOT(ISNUMBER(C21)),NOT(ISNUMBER(D21)),D21&lt;0,D21&gt;C21),"Valor inválido","Verificável")))))</f>
        <v/>
      </c>
    </row>
    <row r="22" customFormat="false" ht="15" hidden="false" customHeight="true" outlineLevel="0" collapsed="false">
      <c r="A22" s="15"/>
      <c r="B22" s="15"/>
      <c r="C22" s="16"/>
      <c r="D22" s="16"/>
      <c r="E22" s="17"/>
      <c r="F22" s="15"/>
      <c r="G22" s="15"/>
      <c r="H22" s="15"/>
      <c r="I22" s="15"/>
      <c r="J22" s="18" t="str">
        <f aca="false">IF(A22="","",IFERROR(INDEX(Propostas!$B:$B,MATCH(A22,Propostas!$A:$A,0)),IFERROR(INDEX('Lula 2022 (2023-2026)'!$D:$D,MATCH(A22,'Lula 2022 (2023-2026)'!$A:$A,0)),"ID inexistente")))</f>
        <v/>
      </c>
      <c r="K22" s="18" t="str">
        <f aca="false">IF(A22="","",IF(AND(ISNA(MATCH(A22,Propostas!$A:$A,0)),ISNA(MATCH(A22,'Lula 2022 (2023-2026)'!$A:$A,0))),"ID inexistente",IF(OR(F22="",NOT(ISNUMBER(E22))),"Sem fonte ou data",IF(NOT(AND(LEFT(G22,8)="https://",OR(ISNUMBER(SEARCH(".gov.br",G22)),ISNUMBER(SEARCH(".leg.br",G22)),ISNUMBER(SEARCH(".jus.br",G22)),ISNUMBER(SEARCH(".mp.br",G22))))),"Sem link oficial",IF(OR(NOT(ISNUMBER(C22)),NOT(ISNUMBER(D22)),D22&lt;0,D22&gt;C22),"Valor inválido","Verificável")))))</f>
        <v/>
      </c>
    </row>
    <row r="23" customFormat="false" ht="15" hidden="false" customHeight="true" outlineLevel="0" collapsed="false">
      <c r="A23" s="15"/>
      <c r="B23" s="15"/>
      <c r="C23" s="16"/>
      <c r="D23" s="16"/>
      <c r="E23" s="17"/>
      <c r="F23" s="15"/>
      <c r="G23" s="15"/>
      <c r="H23" s="15"/>
      <c r="I23" s="15"/>
      <c r="J23" s="18" t="str">
        <f aca="false">IF(A23="","",IFERROR(INDEX(Propostas!$B:$B,MATCH(A23,Propostas!$A:$A,0)),IFERROR(INDEX('Lula 2022 (2023-2026)'!$D:$D,MATCH(A23,'Lula 2022 (2023-2026)'!$A:$A,0)),"ID inexistente")))</f>
        <v/>
      </c>
      <c r="K23" s="18" t="str">
        <f aca="false">IF(A23="","",IF(AND(ISNA(MATCH(A23,Propostas!$A:$A,0)),ISNA(MATCH(A23,'Lula 2022 (2023-2026)'!$A:$A,0))),"ID inexistente",IF(OR(F23="",NOT(ISNUMBER(E23))),"Sem fonte ou data",IF(NOT(AND(LEFT(G23,8)="https://",OR(ISNUMBER(SEARCH(".gov.br",G23)),ISNUMBER(SEARCH(".leg.br",G23)),ISNUMBER(SEARCH(".jus.br",G23)),ISNUMBER(SEARCH(".mp.br",G23))))),"Sem link oficial",IF(OR(NOT(ISNUMBER(C23)),NOT(ISNUMBER(D23)),D23&lt;0,D23&gt;C23),"Valor inválido","Verificável")))))</f>
        <v/>
      </c>
    </row>
    <row r="24" customFormat="false" ht="15" hidden="false" customHeight="true" outlineLevel="0" collapsed="false">
      <c r="A24" s="15"/>
      <c r="B24" s="15"/>
      <c r="C24" s="16"/>
      <c r="D24" s="16"/>
      <c r="E24" s="17"/>
      <c r="F24" s="15"/>
      <c r="G24" s="15"/>
      <c r="H24" s="15"/>
      <c r="I24" s="15"/>
      <c r="J24" s="18" t="str">
        <f aca="false">IF(A24="","",IFERROR(INDEX(Propostas!$B:$B,MATCH(A24,Propostas!$A:$A,0)),IFERROR(INDEX('Lula 2022 (2023-2026)'!$D:$D,MATCH(A24,'Lula 2022 (2023-2026)'!$A:$A,0)),"ID inexistente")))</f>
        <v/>
      </c>
      <c r="K24" s="18" t="str">
        <f aca="false">IF(A24="","",IF(AND(ISNA(MATCH(A24,Propostas!$A:$A,0)),ISNA(MATCH(A24,'Lula 2022 (2023-2026)'!$A:$A,0))),"ID inexistente",IF(OR(F24="",NOT(ISNUMBER(E24))),"Sem fonte ou data",IF(NOT(AND(LEFT(G24,8)="https://",OR(ISNUMBER(SEARCH(".gov.br",G24)),ISNUMBER(SEARCH(".leg.br",G24)),ISNUMBER(SEARCH(".jus.br",G24)),ISNUMBER(SEARCH(".mp.br",G24))))),"Sem link oficial",IF(OR(NOT(ISNUMBER(C24)),NOT(ISNUMBER(D24)),D24&lt;0,D24&gt;C24),"Valor inválido","Verificável")))))</f>
        <v/>
      </c>
    </row>
    <row r="25" customFormat="false" ht="15" hidden="false" customHeight="true" outlineLevel="0" collapsed="false">
      <c r="A25" s="15"/>
      <c r="B25" s="15"/>
      <c r="C25" s="16"/>
      <c r="D25" s="16"/>
      <c r="E25" s="17"/>
      <c r="F25" s="15"/>
      <c r="G25" s="15"/>
      <c r="H25" s="15"/>
      <c r="I25" s="15"/>
      <c r="J25" s="18" t="str">
        <f aca="false">IF(A25="","",IFERROR(INDEX(Propostas!$B:$B,MATCH(A25,Propostas!$A:$A,0)),IFERROR(INDEX('Lula 2022 (2023-2026)'!$D:$D,MATCH(A25,'Lula 2022 (2023-2026)'!$A:$A,0)),"ID inexistente")))</f>
        <v/>
      </c>
      <c r="K25" s="18" t="str">
        <f aca="false">IF(A25="","",IF(AND(ISNA(MATCH(A25,Propostas!$A:$A,0)),ISNA(MATCH(A25,'Lula 2022 (2023-2026)'!$A:$A,0))),"ID inexistente",IF(OR(F25="",NOT(ISNUMBER(E25))),"Sem fonte ou data",IF(NOT(AND(LEFT(G25,8)="https://",OR(ISNUMBER(SEARCH(".gov.br",G25)),ISNUMBER(SEARCH(".leg.br",G25)),ISNUMBER(SEARCH(".jus.br",G25)),ISNUMBER(SEARCH(".mp.br",G25))))),"Sem link oficial",IF(OR(NOT(ISNUMBER(C25)),NOT(ISNUMBER(D25)),D25&lt;0,D25&gt;C25),"Valor inválido","Verificável")))))</f>
        <v/>
      </c>
    </row>
    <row r="26" customFormat="false" ht="15" hidden="false" customHeight="true" outlineLevel="0" collapsed="false">
      <c r="A26" s="15"/>
      <c r="B26" s="15"/>
      <c r="C26" s="16"/>
      <c r="D26" s="16"/>
      <c r="E26" s="17"/>
      <c r="F26" s="15"/>
      <c r="G26" s="15"/>
      <c r="H26" s="15"/>
      <c r="I26" s="15"/>
      <c r="J26" s="18" t="str">
        <f aca="false">IF(A26="","",IFERROR(INDEX(Propostas!$B:$B,MATCH(A26,Propostas!$A:$A,0)),IFERROR(INDEX('Lula 2022 (2023-2026)'!$D:$D,MATCH(A26,'Lula 2022 (2023-2026)'!$A:$A,0)),"ID inexistente")))</f>
        <v/>
      </c>
      <c r="K26" s="18" t="str">
        <f aca="false">IF(A26="","",IF(AND(ISNA(MATCH(A26,Propostas!$A:$A,0)),ISNA(MATCH(A26,'Lula 2022 (2023-2026)'!$A:$A,0))),"ID inexistente",IF(OR(F26="",NOT(ISNUMBER(E26))),"Sem fonte ou data",IF(NOT(AND(LEFT(G26,8)="https://",OR(ISNUMBER(SEARCH(".gov.br",G26)),ISNUMBER(SEARCH(".leg.br",G26)),ISNUMBER(SEARCH(".jus.br",G26)),ISNUMBER(SEARCH(".mp.br",G26))))),"Sem link oficial",IF(OR(NOT(ISNUMBER(C26)),NOT(ISNUMBER(D26)),D26&lt;0,D26&gt;C26),"Valor inválido","Verificável")))))</f>
        <v/>
      </c>
    </row>
    <row r="27" customFormat="false" ht="15" hidden="false" customHeight="true" outlineLevel="0" collapsed="false">
      <c r="A27" s="15"/>
      <c r="B27" s="15"/>
      <c r="C27" s="16"/>
      <c r="D27" s="16"/>
      <c r="E27" s="17"/>
      <c r="F27" s="15"/>
      <c r="G27" s="15"/>
      <c r="H27" s="15"/>
      <c r="I27" s="15"/>
      <c r="J27" s="18" t="str">
        <f aca="false">IF(A27="","",IFERROR(INDEX(Propostas!$B:$B,MATCH(A27,Propostas!$A:$A,0)),IFERROR(INDEX('Lula 2022 (2023-2026)'!$D:$D,MATCH(A27,'Lula 2022 (2023-2026)'!$A:$A,0)),"ID inexistente")))</f>
        <v/>
      </c>
      <c r="K27" s="18" t="str">
        <f aca="false">IF(A27="","",IF(AND(ISNA(MATCH(A27,Propostas!$A:$A,0)),ISNA(MATCH(A27,'Lula 2022 (2023-2026)'!$A:$A,0))),"ID inexistente",IF(OR(F27="",NOT(ISNUMBER(E27))),"Sem fonte ou data",IF(NOT(AND(LEFT(G27,8)="https://",OR(ISNUMBER(SEARCH(".gov.br",G27)),ISNUMBER(SEARCH(".leg.br",G27)),ISNUMBER(SEARCH(".jus.br",G27)),ISNUMBER(SEARCH(".mp.br",G27))))),"Sem link oficial",IF(OR(NOT(ISNUMBER(C27)),NOT(ISNUMBER(D27)),D27&lt;0,D27&gt;C27),"Valor inválido","Verificável")))))</f>
        <v/>
      </c>
    </row>
    <row r="28" customFormat="false" ht="15" hidden="false" customHeight="true" outlineLevel="0" collapsed="false">
      <c r="A28" s="15"/>
      <c r="B28" s="15"/>
      <c r="C28" s="16"/>
      <c r="D28" s="16"/>
      <c r="E28" s="17"/>
      <c r="F28" s="15"/>
      <c r="G28" s="15"/>
      <c r="H28" s="15"/>
      <c r="I28" s="15"/>
      <c r="J28" s="18" t="str">
        <f aca="false">IF(A28="","",IFERROR(INDEX(Propostas!$B:$B,MATCH(A28,Propostas!$A:$A,0)),IFERROR(INDEX('Lula 2022 (2023-2026)'!$D:$D,MATCH(A28,'Lula 2022 (2023-2026)'!$A:$A,0)),"ID inexistente")))</f>
        <v/>
      </c>
      <c r="K28" s="18" t="str">
        <f aca="false">IF(A28="","",IF(AND(ISNA(MATCH(A28,Propostas!$A:$A,0)),ISNA(MATCH(A28,'Lula 2022 (2023-2026)'!$A:$A,0))),"ID inexistente",IF(OR(F28="",NOT(ISNUMBER(E28))),"Sem fonte ou data",IF(NOT(AND(LEFT(G28,8)="https://",OR(ISNUMBER(SEARCH(".gov.br",G28)),ISNUMBER(SEARCH(".leg.br",G28)),ISNUMBER(SEARCH(".jus.br",G28)),ISNUMBER(SEARCH(".mp.br",G28))))),"Sem link oficial",IF(OR(NOT(ISNUMBER(C28)),NOT(ISNUMBER(D28)),D28&lt;0,D28&gt;C28),"Valor inválido","Verificável")))))</f>
        <v/>
      </c>
    </row>
    <row r="29" customFormat="false" ht="15" hidden="false" customHeight="true" outlineLevel="0" collapsed="false">
      <c r="A29" s="15"/>
      <c r="B29" s="15"/>
      <c r="C29" s="16"/>
      <c r="D29" s="16"/>
      <c r="E29" s="17"/>
      <c r="F29" s="15"/>
      <c r="G29" s="15"/>
      <c r="H29" s="15"/>
      <c r="I29" s="15"/>
      <c r="J29" s="18" t="str">
        <f aca="false">IF(A29="","",IFERROR(INDEX(Propostas!$B:$B,MATCH(A29,Propostas!$A:$A,0)),IFERROR(INDEX('Lula 2022 (2023-2026)'!$D:$D,MATCH(A29,'Lula 2022 (2023-2026)'!$A:$A,0)),"ID inexistente")))</f>
        <v/>
      </c>
      <c r="K29" s="18" t="str">
        <f aca="false">IF(A29="","",IF(AND(ISNA(MATCH(A29,Propostas!$A:$A,0)),ISNA(MATCH(A29,'Lula 2022 (2023-2026)'!$A:$A,0))),"ID inexistente",IF(OR(F29="",NOT(ISNUMBER(E29))),"Sem fonte ou data",IF(NOT(AND(LEFT(G29,8)="https://",OR(ISNUMBER(SEARCH(".gov.br",G29)),ISNUMBER(SEARCH(".leg.br",G29)),ISNUMBER(SEARCH(".jus.br",G29)),ISNUMBER(SEARCH(".mp.br",G29))))),"Sem link oficial",IF(OR(NOT(ISNUMBER(C29)),NOT(ISNUMBER(D29)),D29&lt;0,D29&gt;C29),"Valor inválido","Verificável")))))</f>
        <v/>
      </c>
    </row>
    <row r="30" customFormat="false" ht="15" hidden="false" customHeight="true" outlineLevel="0" collapsed="false">
      <c r="A30" s="15"/>
      <c r="B30" s="15"/>
      <c r="C30" s="16"/>
      <c r="D30" s="16"/>
      <c r="E30" s="17"/>
      <c r="F30" s="15"/>
      <c r="G30" s="15"/>
      <c r="H30" s="15"/>
      <c r="I30" s="15"/>
      <c r="J30" s="18" t="str">
        <f aca="false">IF(A30="","",IFERROR(INDEX(Propostas!$B:$B,MATCH(A30,Propostas!$A:$A,0)),IFERROR(INDEX('Lula 2022 (2023-2026)'!$D:$D,MATCH(A30,'Lula 2022 (2023-2026)'!$A:$A,0)),"ID inexistente")))</f>
        <v/>
      </c>
      <c r="K30" s="18" t="str">
        <f aca="false">IF(A30="","",IF(AND(ISNA(MATCH(A30,Propostas!$A:$A,0)),ISNA(MATCH(A30,'Lula 2022 (2023-2026)'!$A:$A,0))),"ID inexistente",IF(OR(F30="",NOT(ISNUMBER(E30))),"Sem fonte ou data",IF(NOT(AND(LEFT(G30,8)="https://",OR(ISNUMBER(SEARCH(".gov.br",G30)),ISNUMBER(SEARCH(".leg.br",G30)),ISNUMBER(SEARCH(".jus.br",G30)),ISNUMBER(SEARCH(".mp.br",G30))))),"Sem link oficial",IF(OR(NOT(ISNUMBER(C30)),NOT(ISNUMBER(D30)),D30&lt;0,D30&gt;C30),"Valor inválido","Verificável")))))</f>
        <v/>
      </c>
    </row>
    <row r="31" customFormat="false" ht="15" hidden="false" customHeight="true" outlineLevel="0" collapsed="false">
      <c r="A31" s="15"/>
      <c r="B31" s="15"/>
      <c r="C31" s="16"/>
      <c r="D31" s="16"/>
      <c r="E31" s="17"/>
      <c r="F31" s="15"/>
      <c r="G31" s="15"/>
      <c r="H31" s="15"/>
      <c r="I31" s="15"/>
      <c r="J31" s="18" t="str">
        <f aca="false">IF(A31="","",IFERROR(INDEX(Propostas!$B:$B,MATCH(A31,Propostas!$A:$A,0)),IFERROR(INDEX('Lula 2022 (2023-2026)'!$D:$D,MATCH(A31,'Lula 2022 (2023-2026)'!$A:$A,0)),"ID inexistente")))</f>
        <v/>
      </c>
      <c r="K31" s="18" t="str">
        <f aca="false">IF(A31="","",IF(AND(ISNA(MATCH(A31,Propostas!$A:$A,0)),ISNA(MATCH(A31,'Lula 2022 (2023-2026)'!$A:$A,0))),"ID inexistente",IF(OR(F31="",NOT(ISNUMBER(E31))),"Sem fonte ou data",IF(NOT(AND(LEFT(G31,8)="https://",OR(ISNUMBER(SEARCH(".gov.br",G31)),ISNUMBER(SEARCH(".leg.br",G31)),ISNUMBER(SEARCH(".jus.br",G31)),ISNUMBER(SEARCH(".mp.br",G31))))),"Sem link oficial",IF(OR(NOT(ISNUMBER(C31)),NOT(ISNUMBER(D31)),D31&lt;0,D31&gt;C31),"Valor inválido","Verificável")))))</f>
        <v/>
      </c>
    </row>
    <row r="32" customFormat="false" ht="15" hidden="false" customHeight="true" outlineLevel="0" collapsed="false">
      <c r="A32" s="15"/>
      <c r="B32" s="15"/>
      <c r="C32" s="16"/>
      <c r="D32" s="16"/>
      <c r="E32" s="17"/>
      <c r="F32" s="15"/>
      <c r="G32" s="15"/>
      <c r="H32" s="15"/>
      <c r="I32" s="15"/>
      <c r="J32" s="18" t="str">
        <f aca="false">IF(A32="","",IFERROR(INDEX(Propostas!$B:$B,MATCH(A32,Propostas!$A:$A,0)),IFERROR(INDEX('Lula 2022 (2023-2026)'!$D:$D,MATCH(A32,'Lula 2022 (2023-2026)'!$A:$A,0)),"ID inexistente")))</f>
        <v/>
      </c>
      <c r="K32" s="18" t="str">
        <f aca="false">IF(A32="","",IF(AND(ISNA(MATCH(A32,Propostas!$A:$A,0)),ISNA(MATCH(A32,'Lula 2022 (2023-2026)'!$A:$A,0))),"ID inexistente",IF(OR(F32="",NOT(ISNUMBER(E32))),"Sem fonte ou data",IF(NOT(AND(LEFT(G32,8)="https://",OR(ISNUMBER(SEARCH(".gov.br",G32)),ISNUMBER(SEARCH(".leg.br",G32)),ISNUMBER(SEARCH(".jus.br",G32)),ISNUMBER(SEARCH(".mp.br",G32))))),"Sem link oficial",IF(OR(NOT(ISNUMBER(C32)),NOT(ISNUMBER(D32)),D32&lt;0,D32&gt;C32),"Valor inválido","Verificável")))))</f>
        <v/>
      </c>
    </row>
    <row r="33" customFormat="false" ht="15" hidden="false" customHeight="true" outlineLevel="0" collapsed="false">
      <c r="A33" s="15"/>
      <c r="B33" s="15"/>
      <c r="C33" s="16"/>
      <c r="D33" s="16"/>
      <c r="E33" s="17"/>
      <c r="F33" s="15"/>
      <c r="G33" s="15"/>
      <c r="H33" s="15"/>
      <c r="I33" s="15"/>
      <c r="J33" s="18" t="str">
        <f aca="false">IF(A33="","",IFERROR(INDEX(Propostas!$B:$B,MATCH(A33,Propostas!$A:$A,0)),IFERROR(INDEX('Lula 2022 (2023-2026)'!$D:$D,MATCH(A33,'Lula 2022 (2023-2026)'!$A:$A,0)),"ID inexistente")))</f>
        <v/>
      </c>
      <c r="K33" s="18" t="str">
        <f aca="false">IF(A33="","",IF(AND(ISNA(MATCH(A33,Propostas!$A:$A,0)),ISNA(MATCH(A33,'Lula 2022 (2023-2026)'!$A:$A,0))),"ID inexistente",IF(OR(F33="",NOT(ISNUMBER(E33))),"Sem fonte ou data",IF(NOT(AND(LEFT(G33,8)="https://",OR(ISNUMBER(SEARCH(".gov.br",G33)),ISNUMBER(SEARCH(".leg.br",G33)),ISNUMBER(SEARCH(".jus.br",G33)),ISNUMBER(SEARCH(".mp.br",G33))))),"Sem link oficial",IF(OR(NOT(ISNUMBER(C33)),NOT(ISNUMBER(D33)),D33&lt;0,D33&gt;C33),"Valor inválido","Verificável")))))</f>
        <v/>
      </c>
    </row>
    <row r="34" customFormat="false" ht="15" hidden="false" customHeight="true" outlineLevel="0" collapsed="false">
      <c r="A34" s="15"/>
      <c r="B34" s="15"/>
      <c r="C34" s="16"/>
      <c r="D34" s="16"/>
      <c r="E34" s="17"/>
      <c r="F34" s="15"/>
      <c r="G34" s="15"/>
      <c r="H34" s="15"/>
      <c r="I34" s="15"/>
      <c r="J34" s="18" t="str">
        <f aca="false">IF(A34="","",IFERROR(INDEX(Propostas!$B:$B,MATCH(A34,Propostas!$A:$A,0)),IFERROR(INDEX('Lula 2022 (2023-2026)'!$D:$D,MATCH(A34,'Lula 2022 (2023-2026)'!$A:$A,0)),"ID inexistente")))</f>
        <v/>
      </c>
      <c r="K34" s="18" t="str">
        <f aca="false">IF(A34="","",IF(AND(ISNA(MATCH(A34,Propostas!$A:$A,0)),ISNA(MATCH(A34,'Lula 2022 (2023-2026)'!$A:$A,0))),"ID inexistente",IF(OR(F34="",NOT(ISNUMBER(E34))),"Sem fonte ou data",IF(NOT(AND(LEFT(G34,8)="https://",OR(ISNUMBER(SEARCH(".gov.br",G34)),ISNUMBER(SEARCH(".leg.br",G34)),ISNUMBER(SEARCH(".jus.br",G34)),ISNUMBER(SEARCH(".mp.br",G34))))),"Sem link oficial",IF(OR(NOT(ISNUMBER(C34)),NOT(ISNUMBER(D34)),D34&lt;0,D34&gt;C34),"Valor inválido","Verificável")))))</f>
        <v/>
      </c>
    </row>
    <row r="35" customFormat="false" ht="15" hidden="false" customHeight="true" outlineLevel="0" collapsed="false">
      <c r="A35" s="15"/>
      <c r="B35" s="15"/>
      <c r="C35" s="16"/>
      <c r="D35" s="16"/>
      <c r="E35" s="17"/>
      <c r="F35" s="15"/>
      <c r="G35" s="15"/>
      <c r="H35" s="15"/>
      <c r="I35" s="15"/>
      <c r="J35" s="18" t="str">
        <f aca="false">IF(A35="","",IFERROR(INDEX(Propostas!$B:$B,MATCH(A35,Propostas!$A:$A,0)),IFERROR(INDEX('Lula 2022 (2023-2026)'!$D:$D,MATCH(A35,'Lula 2022 (2023-2026)'!$A:$A,0)),"ID inexistente")))</f>
        <v/>
      </c>
      <c r="K35" s="18" t="str">
        <f aca="false">IF(A35="","",IF(AND(ISNA(MATCH(A35,Propostas!$A:$A,0)),ISNA(MATCH(A35,'Lula 2022 (2023-2026)'!$A:$A,0))),"ID inexistente",IF(OR(F35="",NOT(ISNUMBER(E35))),"Sem fonte ou data",IF(NOT(AND(LEFT(G35,8)="https://",OR(ISNUMBER(SEARCH(".gov.br",G35)),ISNUMBER(SEARCH(".leg.br",G35)),ISNUMBER(SEARCH(".jus.br",G35)),ISNUMBER(SEARCH(".mp.br",G35))))),"Sem link oficial",IF(OR(NOT(ISNUMBER(C35)),NOT(ISNUMBER(D35)),D35&lt;0,D35&gt;C35),"Valor inválido","Verificável")))))</f>
        <v/>
      </c>
    </row>
    <row r="36" customFormat="false" ht="15" hidden="false" customHeight="true" outlineLevel="0" collapsed="false">
      <c r="A36" s="15"/>
      <c r="B36" s="15"/>
      <c r="C36" s="16"/>
      <c r="D36" s="16"/>
      <c r="E36" s="17"/>
      <c r="F36" s="15"/>
      <c r="G36" s="15"/>
      <c r="H36" s="15"/>
      <c r="I36" s="15"/>
      <c r="J36" s="18" t="str">
        <f aca="false">IF(A36="","",IFERROR(INDEX(Propostas!$B:$B,MATCH(A36,Propostas!$A:$A,0)),IFERROR(INDEX('Lula 2022 (2023-2026)'!$D:$D,MATCH(A36,'Lula 2022 (2023-2026)'!$A:$A,0)),"ID inexistente")))</f>
        <v/>
      </c>
      <c r="K36" s="18" t="str">
        <f aca="false">IF(A36="","",IF(AND(ISNA(MATCH(A36,Propostas!$A:$A,0)),ISNA(MATCH(A36,'Lula 2022 (2023-2026)'!$A:$A,0))),"ID inexistente",IF(OR(F36="",NOT(ISNUMBER(E36))),"Sem fonte ou data",IF(NOT(AND(LEFT(G36,8)="https://",OR(ISNUMBER(SEARCH(".gov.br",G36)),ISNUMBER(SEARCH(".leg.br",G36)),ISNUMBER(SEARCH(".jus.br",G36)),ISNUMBER(SEARCH(".mp.br",G36))))),"Sem link oficial",IF(OR(NOT(ISNUMBER(C36)),NOT(ISNUMBER(D36)),D36&lt;0,D36&gt;C36),"Valor inválido","Verificável")))))</f>
        <v/>
      </c>
    </row>
    <row r="37" customFormat="false" ht="15" hidden="false" customHeight="true" outlineLevel="0" collapsed="false">
      <c r="A37" s="15"/>
      <c r="B37" s="15"/>
      <c r="C37" s="16"/>
      <c r="D37" s="16"/>
      <c r="E37" s="17"/>
      <c r="F37" s="15"/>
      <c r="G37" s="15"/>
      <c r="H37" s="15"/>
      <c r="I37" s="15"/>
      <c r="J37" s="18" t="str">
        <f aca="false">IF(A37="","",IFERROR(INDEX(Propostas!$B:$B,MATCH(A37,Propostas!$A:$A,0)),IFERROR(INDEX('Lula 2022 (2023-2026)'!$D:$D,MATCH(A37,'Lula 2022 (2023-2026)'!$A:$A,0)),"ID inexistente")))</f>
        <v/>
      </c>
      <c r="K37" s="18" t="str">
        <f aca="false">IF(A37="","",IF(AND(ISNA(MATCH(A37,Propostas!$A:$A,0)),ISNA(MATCH(A37,'Lula 2022 (2023-2026)'!$A:$A,0))),"ID inexistente",IF(OR(F37="",NOT(ISNUMBER(E37))),"Sem fonte ou data",IF(NOT(AND(LEFT(G37,8)="https://",OR(ISNUMBER(SEARCH(".gov.br",G37)),ISNUMBER(SEARCH(".leg.br",G37)),ISNUMBER(SEARCH(".jus.br",G37)),ISNUMBER(SEARCH(".mp.br",G37))))),"Sem link oficial",IF(OR(NOT(ISNUMBER(C37)),NOT(ISNUMBER(D37)),D37&lt;0,D37&gt;C37),"Valor inválido","Verificável")))))</f>
        <v/>
      </c>
    </row>
    <row r="38" customFormat="false" ht="15" hidden="false" customHeight="true" outlineLevel="0" collapsed="false">
      <c r="A38" s="15"/>
      <c r="B38" s="15"/>
      <c r="C38" s="16"/>
      <c r="D38" s="16"/>
      <c r="E38" s="17"/>
      <c r="F38" s="15"/>
      <c r="G38" s="15"/>
      <c r="H38" s="15"/>
      <c r="I38" s="15"/>
      <c r="J38" s="18" t="str">
        <f aca="false">IF(A38="","",IFERROR(INDEX(Propostas!$B:$B,MATCH(A38,Propostas!$A:$A,0)),IFERROR(INDEX('Lula 2022 (2023-2026)'!$D:$D,MATCH(A38,'Lula 2022 (2023-2026)'!$A:$A,0)),"ID inexistente")))</f>
        <v/>
      </c>
      <c r="K38" s="18" t="str">
        <f aca="false">IF(A38="","",IF(AND(ISNA(MATCH(A38,Propostas!$A:$A,0)),ISNA(MATCH(A38,'Lula 2022 (2023-2026)'!$A:$A,0))),"ID inexistente",IF(OR(F38="",NOT(ISNUMBER(E38))),"Sem fonte ou data",IF(NOT(AND(LEFT(G38,8)="https://",OR(ISNUMBER(SEARCH(".gov.br",G38)),ISNUMBER(SEARCH(".leg.br",G38)),ISNUMBER(SEARCH(".jus.br",G38)),ISNUMBER(SEARCH(".mp.br",G38))))),"Sem link oficial",IF(OR(NOT(ISNUMBER(C38)),NOT(ISNUMBER(D38)),D38&lt;0,D38&gt;C38),"Valor inválido","Verificável")))))</f>
        <v/>
      </c>
    </row>
    <row r="39" customFormat="false" ht="15" hidden="false" customHeight="true" outlineLevel="0" collapsed="false">
      <c r="A39" s="15"/>
      <c r="B39" s="15"/>
      <c r="C39" s="16"/>
      <c r="D39" s="16"/>
      <c r="E39" s="17"/>
      <c r="F39" s="15"/>
      <c r="G39" s="15"/>
      <c r="H39" s="15"/>
      <c r="I39" s="15"/>
      <c r="J39" s="18" t="str">
        <f aca="false">IF(A39="","",IFERROR(INDEX(Propostas!$B:$B,MATCH(A39,Propostas!$A:$A,0)),IFERROR(INDEX('Lula 2022 (2023-2026)'!$D:$D,MATCH(A39,'Lula 2022 (2023-2026)'!$A:$A,0)),"ID inexistente")))</f>
        <v/>
      </c>
      <c r="K39" s="18" t="str">
        <f aca="false">IF(A39="","",IF(AND(ISNA(MATCH(A39,Propostas!$A:$A,0)),ISNA(MATCH(A39,'Lula 2022 (2023-2026)'!$A:$A,0))),"ID inexistente",IF(OR(F39="",NOT(ISNUMBER(E39))),"Sem fonte ou data",IF(NOT(AND(LEFT(G39,8)="https://",OR(ISNUMBER(SEARCH(".gov.br",G39)),ISNUMBER(SEARCH(".leg.br",G39)),ISNUMBER(SEARCH(".jus.br",G39)),ISNUMBER(SEARCH(".mp.br",G39))))),"Sem link oficial",IF(OR(NOT(ISNUMBER(C39)),NOT(ISNUMBER(D39)),D39&lt;0,D39&gt;C39),"Valor inválido","Verificável")))))</f>
        <v/>
      </c>
    </row>
    <row r="40" customFormat="false" ht="15" hidden="false" customHeight="true" outlineLevel="0" collapsed="false">
      <c r="A40" s="15"/>
      <c r="B40" s="15"/>
      <c r="C40" s="16"/>
      <c r="D40" s="16"/>
      <c r="E40" s="17"/>
      <c r="F40" s="15"/>
      <c r="G40" s="15"/>
      <c r="H40" s="15"/>
      <c r="I40" s="15"/>
      <c r="J40" s="18" t="str">
        <f aca="false">IF(A40="","",IFERROR(INDEX(Propostas!$B:$B,MATCH(A40,Propostas!$A:$A,0)),IFERROR(INDEX('Lula 2022 (2023-2026)'!$D:$D,MATCH(A40,'Lula 2022 (2023-2026)'!$A:$A,0)),"ID inexistente")))</f>
        <v/>
      </c>
      <c r="K40" s="18" t="str">
        <f aca="false">IF(A40="","",IF(AND(ISNA(MATCH(A40,Propostas!$A:$A,0)),ISNA(MATCH(A40,'Lula 2022 (2023-2026)'!$A:$A,0))),"ID inexistente",IF(OR(F40="",NOT(ISNUMBER(E40))),"Sem fonte ou data",IF(NOT(AND(LEFT(G40,8)="https://",OR(ISNUMBER(SEARCH(".gov.br",G40)),ISNUMBER(SEARCH(".leg.br",G40)),ISNUMBER(SEARCH(".jus.br",G40)),ISNUMBER(SEARCH(".mp.br",G40))))),"Sem link oficial",IF(OR(NOT(ISNUMBER(C40)),NOT(ISNUMBER(D40)),D40&lt;0,D40&gt;C40),"Valor inválido","Verificável")))))</f>
        <v/>
      </c>
    </row>
    <row r="41" customFormat="false" ht="15" hidden="false" customHeight="true" outlineLevel="0" collapsed="false">
      <c r="A41" s="15"/>
      <c r="B41" s="15"/>
      <c r="C41" s="16"/>
      <c r="D41" s="16"/>
      <c r="E41" s="17"/>
      <c r="F41" s="15"/>
      <c r="G41" s="15"/>
      <c r="H41" s="15"/>
      <c r="I41" s="15"/>
      <c r="J41" s="18" t="str">
        <f aca="false">IF(A41="","",IFERROR(INDEX(Propostas!$B:$B,MATCH(A41,Propostas!$A:$A,0)),IFERROR(INDEX('Lula 2022 (2023-2026)'!$D:$D,MATCH(A41,'Lula 2022 (2023-2026)'!$A:$A,0)),"ID inexistente")))</f>
        <v/>
      </c>
      <c r="K41" s="18" t="str">
        <f aca="false">IF(A41="","",IF(AND(ISNA(MATCH(A41,Propostas!$A:$A,0)),ISNA(MATCH(A41,'Lula 2022 (2023-2026)'!$A:$A,0))),"ID inexistente",IF(OR(F41="",NOT(ISNUMBER(E41))),"Sem fonte ou data",IF(NOT(AND(LEFT(G41,8)="https://",OR(ISNUMBER(SEARCH(".gov.br",G41)),ISNUMBER(SEARCH(".leg.br",G41)),ISNUMBER(SEARCH(".jus.br",G41)),ISNUMBER(SEARCH(".mp.br",G41))))),"Sem link oficial",IF(OR(NOT(ISNUMBER(C41)),NOT(ISNUMBER(D41)),D41&lt;0,D41&gt;C41),"Valor inválido","Verificável")))))</f>
        <v/>
      </c>
    </row>
    <row r="42" customFormat="false" ht="15" hidden="false" customHeight="true" outlineLevel="0" collapsed="false">
      <c r="A42" s="15"/>
      <c r="B42" s="15"/>
      <c r="C42" s="16"/>
      <c r="D42" s="16"/>
      <c r="E42" s="17"/>
      <c r="F42" s="15"/>
      <c r="G42" s="15"/>
      <c r="H42" s="15"/>
      <c r="I42" s="15"/>
      <c r="J42" s="18" t="str">
        <f aca="false">IF(A42="","",IFERROR(INDEX(Propostas!$B:$B,MATCH(A42,Propostas!$A:$A,0)),IFERROR(INDEX('Lula 2022 (2023-2026)'!$D:$D,MATCH(A42,'Lula 2022 (2023-2026)'!$A:$A,0)),"ID inexistente")))</f>
        <v/>
      </c>
      <c r="K42" s="18" t="str">
        <f aca="false">IF(A42="","",IF(AND(ISNA(MATCH(A42,Propostas!$A:$A,0)),ISNA(MATCH(A42,'Lula 2022 (2023-2026)'!$A:$A,0))),"ID inexistente",IF(OR(F42="",NOT(ISNUMBER(E42))),"Sem fonte ou data",IF(NOT(AND(LEFT(G42,8)="https://",OR(ISNUMBER(SEARCH(".gov.br",G42)),ISNUMBER(SEARCH(".leg.br",G42)),ISNUMBER(SEARCH(".jus.br",G42)),ISNUMBER(SEARCH(".mp.br",G42))))),"Sem link oficial",IF(OR(NOT(ISNUMBER(C42)),NOT(ISNUMBER(D42)),D42&lt;0,D42&gt;C42),"Valor inválido","Verificável")))))</f>
        <v/>
      </c>
    </row>
    <row r="43" customFormat="false" ht="15" hidden="false" customHeight="true" outlineLevel="0" collapsed="false">
      <c r="A43" s="15"/>
      <c r="B43" s="15"/>
      <c r="C43" s="16"/>
      <c r="D43" s="16"/>
      <c r="E43" s="17"/>
      <c r="F43" s="15"/>
      <c r="G43" s="15"/>
      <c r="H43" s="15"/>
      <c r="I43" s="15"/>
      <c r="J43" s="18" t="str">
        <f aca="false">IF(A43="","",IFERROR(INDEX(Propostas!$B:$B,MATCH(A43,Propostas!$A:$A,0)),IFERROR(INDEX('Lula 2022 (2023-2026)'!$D:$D,MATCH(A43,'Lula 2022 (2023-2026)'!$A:$A,0)),"ID inexistente")))</f>
        <v/>
      </c>
      <c r="K43" s="18" t="str">
        <f aca="false">IF(A43="","",IF(AND(ISNA(MATCH(A43,Propostas!$A:$A,0)),ISNA(MATCH(A43,'Lula 2022 (2023-2026)'!$A:$A,0))),"ID inexistente",IF(OR(F43="",NOT(ISNUMBER(E43))),"Sem fonte ou data",IF(NOT(AND(LEFT(G43,8)="https://",OR(ISNUMBER(SEARCH(".gov.br",G43)),ISNUMBER(SEARCH(".leg.br",G43)),ISNUMBER(SEARCH(".jus.br",G43)),ISNUMBER(SEARCH(".mp.br",G43))))),"Sem link oficial",IF(OR(NOT(ISNUMBER(C43)),NOT(ISNUMBER(D43)),D43&lt;0,D43&gt;C43),"Valor inválido","Verificável")))))</f>
        <v/>
      </c>
    </row>
    <row r="44" customFormat="false" ht="15" hidden="false" customHeight="true" outlineLevel="0" collapsed="false">
      <c r="A44" s="15"/>
      <c r="B44" s="15"/>
      <c r="C44" s="16"/>
      <c r="D44" s="16"/>
      <c r="E44" s="17"/>
      <c r="F44" s="15"/>
      <c r="G44" s="15"/>
      <c r="H44" s="15"/>
      <c r="I44" s="15"/>
      <c r="J44" s="18" t="str">
        <f aca="false">IF(A44="","",IFERROR(INDEX(Propostas!$B:$B,MATCH(A44,Propostas!$A:$A,0)),IFERROR(INDEX('Lula 2022 (2023-2026)'!$D:$D,MATCH(A44,'Lula 2022 (2023-2026)'!$A:$A,0)),"ID inexistente")))</f>
        <v/>
      </c>
      <c r="K44" s="18" t="str">
        <f aca="false">IF(A44="","",IF(AND(ISNA(MATCH(A44,Propostas!$A:$A,0)),ISNA(MATCH(A44,'Lula 2022 (2023-2026)'!$A:$A,0))),"ID inexistente",IF(OR(F44="",NOT(ISNUMBER(E44))),"Sem fonte ou data",IF(NOT(AND(LEFT(G44,8)="https://",OR(ISNUMBER(SEARCH(".gov.br",G44)),ISNUMBER(SEARCH(".leg.br",G44)),ISNUMBER(SEARCH(".jus.br",G44)),ISNUMBER(SEARCH(".mp.br",G44))))),"Sem link oficial",IF(OR(NOT(ISNUMBER(C44)),NOT(ISNUMBER(D44)),D44&lt;0,D44&gt;C44),"Valor inválido","Verificável")))))</f>
        <v/>
      </c>
    </row>
    <row r="45" customFormat="false" ht="15" hidden="false" customHeight="true" outlineLevel="0" collapsed="false">
      <c r="A45" s="15"/>
      <c r="B45" s="15"/>
      <c r="C45" s="16"/>
      <c r="D45" s="16"/>
      <c r="E45" s="17"/>
      <c r="F45" s="15"/>
      <c r="G45" s="15"/>
      <c r="H45" s="15"/>
      <c r="I45" s="15"/>
      <c r="J45" s="18" t="str">
        <f aca="false">IF(A45="","",IFERROR(INDEX(Propostas!$B:$B,MATCH(A45,Propostas!$A:$A,0)),IFERROR(INDEX('Lula 2022 (2023-2026)'!$D:$D,MATCH(A45,'Lula 2022 (2023-2026)'!$A:$A,0)),"ID inexistente")))</f>
        <v/>
      </c>
      <c r="K45" s="18" t="str">
        <f aca="false">IF(A45="","",IF(AND(ISNA(MATCH(A45,Propostas!$A:$A,0)),ISNA(MATCH(A45,'Lula 2022 (2023-2026)'!$A:$A,0))),"ID inexistente",IF(OR(F45="",NOT(ISNUMBER(E45))),"Sem fonte ou data",IF(NOT(AND(LEFT(G45,8)="https://",OR(ISNUMBER(SEARCH(".gov.br",G45)),ISNUMBER(SEARCH(".leg.br",G45)),ISNUMBER(SEARCH(".jus.br",G45)),ISNUMBER(SEARCH(".mp.br",G45))))),"Sem link oficial",IF(OR(NOT(ISNUMBER(C45)),NOT(ISNUMBER(D45)),D45&lt;0,D45&gt;C45),"Valor inválido","Verificável")))))</f>
        <v/>
      </c>
    </row>
    <row r="46" customFormat="false" ht="15" hidden="false" customHeight="true" outlineLevel="0" collapsed="false">
      <c r="A46" s="15"/>
      <c r="B46" s="15"/>
      <c r="C46" s="16"/>
      <c r="D46" s="16"/>
      <c r="E46" s="17"/>
      <c r="F46" s="15"/>
      <c r="G46" s="15"/>
      <c r="H46" s="15"/>
      <c r="I46" s="15"/>
      <c r="J46" s="18" t="str">
        <f aca="false">IF(A46="","",IFERROR(INDEX(Propostas!$B:$B,MATCH(A46,Propostas!$A:$A,0)),IFERROR(INDEX('Lula 2022 (2023-2026)'!$D:$D,MATCH(A46,'Lula 2022 (2023-2026)'!$A:$A,0)),"ID inexistente")))</f>
        <v/>
      </c>
      <c r="K46" s="18" t="str">
        <f aca="false">IF(A46="","",IF(AND(ISNA(MATCH(A46,Propostas!$A:$A,0)),ISNA(MATCH(A46,'Lula 2022 (2023-2026)'!$A:$A,0))),"ID inexistente",IF(OR(F46="",NOT(ISNUMBER(E46))),"Sem fonte ou data",IF(NOT(AND(LEFT(G46,8)="https://",OR(ISNUMBER(SEARCH(".gov.br",G46)),ISNUMBER(SEARCH(".leg.br",G46)),ISNUMBER(SEARCH(".jus.br",G46)),ISNUMBER(SEARCH(".mp.br",G46))))),"Sem link oficial",IF(OR(NOT(ISNUMBER(C46)),NOT(ISNUMBER(D46)),D46&lt;0,D46&gt;C46),"Valor inválido","Verificável")))))</f>
        <v/>
      </c>
    </row>
    <row r="47" customFormat="false" ht="15" hidden="false" customHeight="true" outlineLevel="0" collapsed="false">
      <c r="A47" s="15"/>
      <c r="B47" s="15"/>
      <c r="C47" s="16"/>
      <c r="D47" s="16"/>
      <c r="E47" s="17"/>
      <c r="F47" s="15"/>
      <c r="G47" s="15"/>
      <c r="H47" s="15"/>
      <c r="I47" s="15"/>
      <c r="J47" s="18" t="str">
        <f aca="false">IF(A47="","",IFERROR(INDEX(Propostas!$B:$B,MATCH(A47,Propostas!$A:$A,0)),IFERROR(INDEX('Lula 2022 (2023-2026)'!$D:$D,MATCH(A47,'Lula 2022 (2023-2026)'!$A:$A,0)),"ID inexistente")))</f>
        <v/>
      </c>
      <c r="K47" s="18" t="str">
        <f aca="false">IF(A47="","",IF(AND(ISNA(MATCH(A47,Propostas!$A:$A,0)),ISNA(MATCH(A47,'Lula 2022 (2023-2026)'!$A:$A,0))),"ID inexistente",IF(OR(F47="",NOT(ISNUMBER(E47))),"Sem fonte ou data",IF(NOT(AND(LEFT(G47,8)="https://",OR(ISNUMBER(SEARCH(".gov.br",G47)),ISNUMBER(SEARCH(".leg.br",G47)),ISNUMBER(SEARCH(".jus.br",G47)),ISNUMBER(SEARCH(".mp.br",G47))))),"Sem link oficial",IF(OR(NOT(ISNUMBER(C47)),NOT(ISNUMBER(D47)),D47&lt;0,D47&gt;C47),"Valor inválido","Verificável")))))</f>
        <v/>
      </c>
    </row>
    <row r="48" customFormat="false" ht="15" hidden="false" customHeight="true" outlineLevel="0" collapsed="false">
      <c r="A48" s="15"/>
      <c r="B48" s="15"/>
      <c r="C48" s="16"/>
      <c r="D48" s="16"/>
      <c r="E48" s="17"/>
      <c r="F48" s="15"/>
      <c r="G48" s="15"/>
      <c r="H48" s="15"/>
      <c r="I48" s="15"/>
      <c r="J48" s="18" t="str">
        <f aca="false">IF(A48="","",IFERROR(INDEX(Propostas!$B:$B,MATCH(A48,Propostas!$A:$A,0)),IFERROR(INDEX('Lula 2022 (2023-2026)'!$D:$D,MATCH(A48,'Lula 2022 (2023-2026)'!$A:$A,0)),"ID inexistente")))</f>
        <v/>
      </c>
      <c r="K48" s="18" t="str">
        <f aca="false">IF(A48="","",IF(AND(ISNA(MATCH(A48,Propostas!$A:$A,0)),ISNA(MATCH(A48,'Lula 2022 (2023-2026)'!$A:$A,0))),"ID inexistente",IF(OR(F48="",NOT(ISNUMBER(E48))),"Sem fonte ou data",IF(NOT(AND(LEFT(G48,8)="https://",OR(ISNUMBER(SEARCH(".gov.br",G48)),ISNUMBER(SEARCH(".leg.br",G48)),ISNUMBER(SEARCH(".jus.br",G48)),ISNUMBER(SEARCH(".mp.br",G48))))),"Sem link oficial",IF(OR(NOT(ISNUMBER(C48)),NOT(ISNUMBER(D48)),D48&lt;0,D48&gt;C48),"Valor inválido","Verificável")))))</f>
        <v/>
      </c>
    </row>
    <row r="49" customFormat="false" ht="15" hidden="false" customHeight="true" outlineLevel="0" collapsed="false">
      <c r="A49" s="15"/>
      <c r="B49" s="15"/>
      <c r="C49" s="16"/>
      <c r="D49" s="16"/>
      <c r="E49" s="17"/>
      <c r="F49" s="15"/>
      <c r="G49" s="15"/>
      <c r="H49" s="15"/>
      <c r="I49" s="15"/>
      <c r="J49" s="18" t="str">
        <f aca="false">IF(A49="","",IFERROR(INDEX(Propostas!$B:$B,MATCH(A49,Propostas!$A:$A,0)),IFERROR(INDEX('Lula 2022 (2023-2026)'!$D:$D,MATCH(A49,'Lula 2022 (2023-2026)'!$A:$A,0)),"ID inexistente")))</f>
        <v/>
      </c>
      <c r="K49" s="18" t="str">
        <f aca="false">IF(A49="","",IF(AND(ISNA(MATCH(A49,Propostas!$A:$A,0)),ISNA(MATCH(A49,'Lula 2022 (2023-2026)'!$A:$A,0))),"ID inexistente",IF(OR(F49="",NOT(ISNUMBER(E49))),"Sem fonte ou data",IF(NOT(AND(LEFT(G49,8)="https://",OR(ISNUMBER(SEARCH(".gov.br",G49)),ISNUMBER(SEARCH(".leg.br",G49)),ISNUMBER(SEARCH(".jus.br",G49)),ISNUMBER(SEARCH(".mp.br",G49))))),"Sem link oficial",IF(OR(NOT(ISNUMBER(C49)),NOT(ISNUMBER(D49)),D49&lt;0,D49&gt;C49),"Valor inválido","Verificável")))))</f>
        <v/>
      </c>
    </row>
    <row r="50" customFormat="false" ht="15" hidden="false" customHeight="true" outlineLevel="0" collapsed="false">
      <c r="A50" s="15"/>
      <c r="B50" s="15"/>
      <c r="C50" s="16"/>
      <c r="D50" s="16"/>
      <c r="E50" s="17"/>
      <c r="F50" s="15"/>
      <c r="G50" s="15"/>
      <c r="H50" s="15"/>
      <c r="I50" s="15"/>
      <c r="J50" s="18" t="str">
        <f aca="false">IF(A50="","",IFERROR(INDEX(Propostas!$B:$B,MATCH(A50,Propostas!$A:$A,0)),IFERROR(INDEX('Lula 2022 (2023-2026)'!$D:$D,MATCH(A50,'Lula 2022 (2023-2026)'!$A:$A,0)),"ID inexistente")))</f>
        <v/>
      </c>
      <c r="K50" s="18" t="str">
        <f aca="false">IF(A50="","",IF(AND(ISNA(MATCH(A50,Propostas!$A:$A,0)),ISNA(MATCH(A50,'Lula 2022 (2023-2026)'!$A:$A,0))),"ID inexistente",IF(OR(F50="",NOT(ISNUMBER(E50))),"Sem fonte ou data",IF(NOT(AND(LEFT(G50,8)="https://",OR(ISNUMBER(SEARCH(".gov.br",G50)),ISNUMBER(SEARCH(".leg.br",G50)),ISNUMBER(SEARCH(".jus.br",G50)),ISNUMBER(SEARCH(".mp.br",G50))))),"Sem link oficial",IF(OR(NOT(ISNUMBER(C50)),NOT(ISNUMBER(D50)),D50&lt;0,D50&gt;C50),"Valor inválido","Verificável")))))</f>
        <v/>
      </c>
    </row>
    <row r="51" customFormat="false" ht="15" hidden="false" customHeight="true" outlineLevel="0" collapsed="false">
      <c r="A51" s="15"/>
      <c r="B51" s="15"/>
      <c r="C51" s="16"/>
      <c r="D51" s="16"/>
      <c r="E51" s="17"/>
      <c r="F51" s="15"/>
      <c r="G51" s="15"/>
      <c r="H51" s="15"/>
      <c r="I51" s="15"/>
      <c r="J51" s="18" t="str">
        <f aca="false">IF(A51="","",IFERROR(INDEX(Propostas!$B:$B,MATCH(A51,Propostas!$A:$A,0)),IFERROR(INDEX('Lula 2022 (2023-2026)'!$D:$D,MATCH(A51,'Lula 2022 (2023-2026)'!$A:$A,0)),"ID inexistente")))</f>
        <v/>
      </c>
      <c r="K51" s="18" t="str">
        <f aca="false">IF(A51="","",IF(AND(ISNA(MATCH(A51,Propostas!$A:$A,0)),ISNA(MATCH(A51,'Lula 2022 (2023-2026)'!$A:$A,0))),"ID inexistente",IF(OR(F51="",NOT(ISNUMBER(E51))),"Sem fonte ou data",IF(NOT(AND(LEFT(G51,8)="https://",OR(ISNUMBER(SEARCH(".gov.br",G51)),ISNUMBER(SEARCH(".leg.br",G51)),ISNUMBER(SEARCH(".jus.br",G51)),ISNUMBER(SEARCH(".mp.br",G51))))),"Sem link oficial",IF(OR(NOT(ISNUMBER(C51)),NOT(ISNUMBER(D51)),D51&lt;0,D51&gt;C51),"Valor inválido","Verificável")))))</f>
        <v/>
      </c>
    </row>
    <row r="52" customFormat="false" ht="15" hidden="false" customHeight="true" outlineLevel="0" collapsed="false">
      <c r="A52" s="15"/>
      <c r="B52" s="15"/>
      <c r="C52" s="16"/>
      <c r="D52" s="16"/>
      <c r="E52" s="17"/>
      <c r="F52" s="15"/>
      <c r="G52" s="15"/>
      <c r="H52" s="15"/>
      <c r="I52" s="15"/>
      <c r="J52" s="18" t="str">
        <f aca="false">IF(A52="","",IFERROR(INDEX(Propostas!$B:$B,MATCH(A52,Propostas!$A:$A,0)),IFERROR(INDEX('Lula 2022 (2023-2026)'!$D:$D,MATCH(A52,'Lula 2022 (2023-2026)'!$A:$A,0)),"ID inexistente")))</f>
        <v/>
      </c>
      <c r="K52" s="18" t="str">
        <f aca="false">IF(A52="","",IF(AND(ISNA(MATCH(A52,Propostas!$A:$A,0)),ISNA(MATCH(A52,'Lula 2022 (2023-2026)'!$A:$A,0))),"ID inexistente",IF(OR(F52="",NOT(ISNUMBER(E52))),"Sem fonte ou data",IF(NOT(AND(LEFT(G52,8)="https://",OR(ISNUMBER(SEARCH(".gov.br",G52)),ISNUMBER(SEARCH(".leg.br",G52)),ISNUMBER(SEARCH(".jus.br",G52)),ISNUMBER(SEARCH(".mp.br",G52))))),"Sem link oficial",IF(OR(NOT(ISNUMBER(C52)),NOT(ISNUMBER(D52)),D52&lt;0,D52&gt;C52),"Valor inválido","Verificável")))))</f>
        <v/>
      </c>
    </row>
    <row r="53" customFormat="false" ht="15" hidden="false" customHeight="true" outlineLevel="0" collapsed="false">
      <c r="A53" s="15"/>
      <c r="B53" s="15"/>
      <c r="C53" s="16"/>
      <c r="D53" s="16"/>
      <c r="E53" s="17"/>
      <c r="F53" s="15"/>
      <c r="G53" s="15"/>
      <c r="H53" s="15"/>
      <c r="I53" s="15"/>
      <c r="J53" s="18" t="str">
        <f aca="false">IF(A53="","",IFERROR(INDEX(Propostas!$B:$B,MATCH(A53,Propostas!$A:$A,0)),IFERROR(INDEX('Lula 2022 (2023-2026)'!$D:$D,MATCH(A53,'Lula 2022 (2023-2026)'!$A:$A,0)),"ID inexistente")))</f>
        <v/>
      </c>
      <c r="K53" s="18" t="str">
        <f aca="false">IF(A53="","",IF(AND(ISNA(MATCH(A53,Propostas!$A:$A,0)),ISNA(MATCH(A53,'Lula 2022 (2023-2026)'!$A:$A,0))),"ID inexistente",IF(OR(F53="",NOT(ISNUMBER(E53))),"Sem fonte ou data",IF(NOT(AND(LEFT(G53,8)="https://",OR(ISNUMBER(SEARCH(".gov.br",G53)),ISNUMBER(SEARCH(".leg.br",G53)),ISNUMBER(SEARCH(".jus.br",G53)),ISNUMBER(SEARCH(".mp.br",G53))))),"Sem link oficial",IF(OR(NOT(ISNUMBER(C53)),NOT(ISNUMBER(D53)),D53&lt;0,D53&gt;C53),"Valor inválido","Verificável")))))</f>
        <v/>
      </c>
    </row>
    <row r="54" customFormat="false" ht="15" hidden="false" customHeight="true" outlineLevel="0" collapsed="false">
      <c r="A54" s="15"/>
      <c r="B54" s="15"/>
      <c r="C54" s="16"/>
      <c r="D54" s="16"/>
      <c r="E54" s="17"/>
      <c r="F54" s="15"/>
      <c r="G54" s="15"/>
      <c r="H54" s="15"/>
      <c r="I54" s="15"/>
      <c r="J54" s="18" t="str">
        <f aca="false">IF(A54="","",IFERROR(INDEX(Propostas!$B:$B,MATCH(A54,Propostas!$A:$A,0)),IFERROR(INDEX('Lula 2022 (2023-2026)'!$D:$D,MATCH(A54,'Lula 2022 (2023-2026)'!$A:$A,0)),"ID inexistente")))</f>
        <v/>
      </c>
      <c r="K54" s="18" t="str">
        <f aca="false">IF(A54="","",IF(AND(ISNA(MATCH(A54,Propostas!$A:$A,0)),ISNA(MATCH(A54,'Lula 2022 (2023-2026)'!$A:$A,0))),"ID inexistente",IF(OR(F54="",NOT(ISNUMBER(E54))),"Sem fonte ou data",IF(NOT(AND(LEFT(G54,8)="https://",OR(ISNUMBER(SEARCH(".gov.br",G54)),ISNUMBER(SEARCH(".leg.br",G54)),ISNUMBER(SEARCH(".jus.br",G54)),ISNUMBER(SEARCH(".mp.br",G54))))),"Sem link oficial",IF(OR(NOT(ISNUMBER(C54)),NOT(ISNUMBER(D54)),D54&lt;0,D54&gt;C54),"Valor inválido","Verificável")))))</f>
        <v/>
      </c>
    </row>
    <row r="55" customFormat="false" ht="15" hidden="false" customHeight="true" outlineLevel="0" collapsed="false">
      <c r="A55" s="15"/>
      <c r="B55" s="15"/>
      <c r="C55" s="16"/>
      <c r="D55" s="16"/>
      <c r="E55" s="17"/>
      <c r="F55" s="15"/>
      <c r="G55" s="15"/>
      <c r="H55" s="15"/>
      <c r="I55" s="15"/>
      <c r="J55" s="18" t="str">
        <f aca="false">IF(A55="","",IFERROR(INDEX(Propostas!$B:$B,MATCH(A55,Propostas!$A:$A,0)),IFERROR(INDEX('Lula 2022 (2023-2026)'!$D:$D,MATCH(A55,'Lula 2022 (2023-2026)'!$A:$A,0)),"ID inexistente")))</f>
        <v/>
      </c>
      <c r="K55" s="18" t="str">
        <f aca="false">IF(A55="","",IF(AND(ISNA(MATCH(A55,Propostas!$A:$A,0)),ISNA(MATCH(A55,'Lula 2022 (2023-2026)'!$A:$A,0))),"ID inexistente",IF(OR(F55="",NOT(ISNUMBER(E55))),"Sem fonte ou data",IF(NOT(AND(LEFT(G55,8)="https://",OR(ISNUMBER(SEARCH(".gov.br",G55)),ISNUMBER(SEARCH(".leg.br",G55)),ISNUMBER(SEARCH(".jus.br",G55)),ISNUMBER(SEARCH(".mp.br",G55))))),"Sem link oficial",IF(OR(NOT(ISNUMBER(C55)),NOT(ISNUMBER(D55)),D55&lt;0,D55&gt;C55),"Valor inválido","Verificável")))))</f>
        <v/>
      </c>
    </row>
    <row r="56" customFormat="false" ht="15" hidden="false" customHeight="true" outlineLevel="0" collapsed="false">
      <c r="A56" s="15"/>
      <c r="B56" s="15"/>
      <c r="C56" s="16"/>
      <c r="D56" s="16"/>
      <c r="E56" s="17"/>
      <c r="F56" s="15"/>
      <c r="G56" s="15"/>
      <c r="H56" s="15"/>
      <c r="I56" s="15"/>
      <c r="J56" s="18" t="str">
        <f aca="false">IF(A56="","",IFERROR(INDEX(Propostas!$B:$B,MATCH(A56,Propostas!$A:$A,0)),IFERROR(INDEX('Lula 2022 (2023-2026)'!$D:$D,MATCH(A56,'Lula 2022 (2023-2026)'!$A:$A,0)),"ID inexistente")))</f>
        <v/>
      </c>
      <c r="K56" s="18" t="str">
        <f aca="false">IF(A56="","",IF(AND(ISNA(MATCH(A56,Propostas!$A:$A,0)),ISNA(MATCH(A56,'Lula 2022 (2023-2026)'!$A:$A,0))),"ID inexistente",IF(OR(F56="",NOT(ISNUMBER(E56))),"Sem fonte ou data",IF(NOT(AND(LEFT(G56,8)="https://",OR(ISNUMBER(SEARCH(".gov.br",G56)),ISNUMBER(SEARCH(".leg.br",G56)),ISNUMBER(SEARCH(".jus.br",G56)),ISNUMBER(SEARCH(".mp.br",G56))))),"Sem link oficial",IF(OR(NOT(ISNUMBER(C56)),NOT(ISNUMBER(D56)),D56&lt;0,D56&gt;C56),"Valor inválido","Verificável")))))</f>
        <v/>
      </c>
    </row>
    <row r="57" customFormat="false" ht="15" hidden="false" customHeight="true" outlineLevel="0" collapsed="false">
      <c r="A57" s="15"/>
      <c r="B57" s="15"/>
      <c r="C57" s="16"/>
      <c r="D57" s="16"/>
      <c r="E57" s="17"/>
      <c r="F57" s="15"/>
      <c r="G57" s="15"/>
      <c r="H57" s="15"/>
      <c r="I57" s="15"/>
      <c r="J57" s="18" t="str">
        <f aca="false">IF(A57="","",IFERROR(INDEX(Propostas!$B:$B,MATCH(A57,Propostas!$A:$A,0)),IFERROR(INDEX('Lula 2022 (2023-2026)'!$D:$D,MATCH(A57,'Lula 2022 (2023-2026)'!$A:$A,0)),"ID inexistente")))</f>
        <v/>
      </c>
      <c r="K57" s="18" t="str">
        <f aca="false">IF(A57="","",IF(AND(ISNA(MATCH(A57,Propostas!$A:$A,0)),ISNA(MATCH(A57,'Lula 2022 (2023-2026)'!$A:$A,0))),"ID inexistente",IF(OR(F57="",NOT(ISNUMBER(E57))),"Sem fonte ou data",IF(NOT(AND(LEFT(G57,8)="https://",OR(ISNUMBER(SEARCH(".gov.br",G57)),ISNUMBER(SEARCH(".leg.br",G57)),ISNUMBER(SEARCH(".jus.br",G57)),ISNUMBER(SEARCH(".mp.br",G57))))),"Sem link oficial",IF(OR(NOT(ISNUMBER(C57)),NOT(ISNUMBER(D57)),D57&lt;0,D57&gt;C57),"Valor inválido","Verificável")))))</f>
        <v/>
      </c>
    </row>
    <row r="58" customFormat="false" ht="15" hidden="false" customHeight="true" outlineLevel="0" collapsed="false">
      <c r="A58" s="15"/>
      <c r="B58" s="15"/>
      <c r="C58" s="16"/>
      <c r="D58" s="16"/>
      <c r="E58" s="17"/>
      <c r="F58" s="15"/>
      <c r="G58" s="15"/>
      <c r="H58" s="15"/>
      <c r="I58" s="15"/>
      <c r="J58" s="18" t="str">
        <f aca="false">IF(A58="","",IFERROR(INDEX(Propostas!$B:$B,MATCH(A58,Propostas!$A:$A,0)),IFERROR(INDEX('Lula 2022 (2023-2026)'!$D:$D,MATCH(A58,'Lula 2022 (2023-2026)'!$A:$A,0)),"ID inexistente")))</f>
        <v/>
      </c>
      <c r="K58" s="18" t="str">
        <f aca="false">IF(A58="","",IF(AND(ISNA(MATCH(A58,Propostas!$A:$A,0)),ISNA(MATCH(A58,'Lula 2022 (2023-2026)'!$A:$A,0))),"ID inexistente",IF(OR(F58="",NOT(ISNUMBER(E58))),"Sem fonte ou data",IF(NOT(AND(LEFT(G58,8)="https://",OR(ISNUMBER(SEARCH(".gov.br",G58)),ISNUMBER(SEARCH(".leg.br",G58)),ISNUMBER(SEARCH(".jus.br",G58)),ISNUMBER(SEARCH(".mp.br",G58))))),"Sem link oficial",IF(OR(NOT(ISNUMBER(C58)),NOT(ISNUMBER(D58)),D58&lt;0,D58&gt;C58),"Valor inválido","Verificável")))))</f>
        <v/>
      </c>
    </row>
    <row r="59" customFormat="false" ht="15" hidden="false" customHeight="true" outlineLevel="0" collapsed="false">
      <c r="A59" s="15"/>
      <c r="B59" s="15"/>
      <c r="C59" s="16"/>
      <c r="D59" s="16"/>
      <c r="E59" s="17"/>
      <c r="F59" s="15"/>
      <c r="G59" s="15"/>
      <c r="H59" s="15"/>
      <c r="I59" s="15"/>
      <c r="J59" s="18" t="str">
        <f aca="false">IF(A59="","",IFERROR(INDEX(Propostas!$B:$B,MATCH(A59,Propostas!$A:$A,0)),IFERROR(INDEX('Lula 2022 (2023-2026)'!$D:$D,MATCH(A59,'Lula 2022 (2023-2026)'!$A:$A,0)),"ID inexistente")))</f>
        <v/>
      </c>
      <c r="K59" s="18" t="str">
        <f aca="false">IF(A59="","",IF(AND(ISNA(MATCH(A59,Propostas!$A:$A,0)),ISNA(MATCH(A59,'Lula 2022 (2023-2026)'!$A:$A,0))),"ID inexistente",IF(OR(F59="",NOT(ISNUMBER(E59))),"Sem fonte ou data",IF(NOT(AND(LEFT(G59,8)="https://",OR(ISNUMBER(SEARCH(".gov.br",G59)),ISNUMBER(SEARCH(".leg.br",G59)),ISNUMBER(SEARCH(".jus.br",G59)),ISNUMBER(SEARCH(".mp.br",G59))))),"Sem link oficial",IF(OR(NOT(ISNUMBER(C59)),NOT(ISNUMBER(D59)),D59&lt;0,D59&gt;C59),"Valor inválido","Verificável")))))</f>
        <v/>
      </c>
    </row>
    <row r="60" customFormat="false" ht="15" hidden="false" customHeight="true" outlineLevel="0" collapsed="false">
      <c r="A60" s="15"/>
      <c r="B60" s="15"/>
      <c r="C60" s="16"/>
      <c r="D60" s="16"/>
      <c r="E60" s="17"/>
      <c r="F60" s="15"/>
      <c r="G60" s="15"/>
      <c r="H60" s="15"/>
      <c r="I60" s="15"/>
      <c r="J60" s="18" t="str">
        <f aca="false">IF(A60="","",IFERROR(INDEX(Propostas!$B:$B,MATCH(A60,Propostas!$A:$A,0)),IFERROR(INDEX('Lula 2022 (2023-2026)'!$D:$D,MATCH(A60,'Lula 2022 (2023-2026)'!$A:$A,0)),"ID inexistente")))</f>
        <v/>
      </c>
      <c r="K60" s="18" t="str">
        <f aca="false">IF(A60="","",IF(AND(ISNA(MATCH(A60,Propostas!$A:$A,0)),ISNA(MATCH(A60,'Lula 2022 (2023-2026)'!$A:$A,0))),"ID inexistente",IF(OR(F60="",NOT(ISNUMBER(E60))),"Sem fonte ou data",IF(NOT(AND(LEFT(G60,8)="https://",OR(ISNUMBER(SEARCH(".gov.br",G60)),ISNUMBER(SEARCH(".leg.br",G60)),ISNUMBER(SEARCH(".jus.br",G60)),ISNUMBER(SEARCH(".mp.br",G60))))),"Sem link oficial",IF(OR(NOT(ISNUMBER(C60)),NOT(ISNUMBER(D60)),D60&lt;0,D60&gt;C60),"Valor inválido","Verificável")))))</f>
        <v/>
      </c>
    </row>
    <row r="61" customFormat="false" ht="15" hidden="false" customHeight="true" outlineLevel="0" collapsed="false">
      <c r="A61" s="15"/>
      <c r="B61" s="15"/>
      <c r="C61" s="16"/>
      <c r="D61" s="16"/>
      <c r="E61" s="17"/>
      <c r="F61" s="15"/>
      <c r="G61" s="15"/>
      <c r="H61" s="15"/>
      <c r="I61" s="15"/>
      <c r="J61" s="18" t="str">
        <f aca="false">IF(A61="","",IFERROR(INDEX(Propostas!$B:$B,MATCH(A61,Propostas!$A:$A,0)),IFERROR(INDEX('Lula 2022 (2023-2026)'!$D:$D,MATCH(A61,'Lula 2022 (2023-2026)'!$A:$A,0)),"ID inexistente")))</f>
        <v/>
      </c>
      <c r="K61" s="18" t="str">
        <f aca="false">IF(A61="","",IF(AND(ISNA(MATCH(A61,Propostas!$A:$A,0)),ISNA(MATCH(A61,'Lula 2022 (2023-2026)'!$A:$A,0))),"ID inexistente",IF(OR(F61="",NOT(ISNUMBER(E61))),"Sem fonte ou data",IF(NOT(AND(LEFT(G61,8)="https://",OR(ISNUMBER(SEARCH(".gov.br",G61)),ISNUMBER(SEARCH(".leg.br",G61)),ISNUMBER(SEARCH(".jus.br",G61)),ISNUMBER(SEARCH(".mp.br",G61))))),"Sem link oficial",IF(OR(NOT(ISNUMBER(C61)),NOT(ISNUMBER(D61)),D61&lt;0,D61&gt;C61),"Valor inválido","Verificável")))))</f>
        <v/>
      </c>
    </row>
    <row r="62" customFormat="false" ht="15" hidden="false" customHeight="true" outlineLevel="0" collapsed="false">
      <c r="A62" s="15"/>
      <c r="B62" s="15"/>
      <c r="C62" s="16"/>
      <c r="D62" s="16"/>
      <c r="E62" s="17"/>
      <c r="F62" s="15"/>
      <c r="G62" s="15"/>
      <c r="H62" s="15"/>
      <c r="I62" s="15"/>
      <c r="J62" s="18" t="str">
        <f aca="false">IF(A62="","",IFERROR(INDEX(Propostas!$B:$B,MATCH(A62,Propostas!$A:$A,0)),IFERROR(INDEX('Lula 2022 (2023-2026)'!$D:$D,MATCH(A62,'Lula 2022 (2023-2026)'!$A:$A,0)),"ID inexistente")))</f>
        <v/>
      </c>
      <c r="K62" s="18" t="str">
        <f aca="false">IF(A62="","",IF(AND(ISNA(MATCH(A62,Propostas!$A:$A,0)),ISNA(MATCH(A62,'Lula 2022 (2023-2026)'!$A:$A,0))),"ID inexistente",IF(OR(F62="",NOT(ISNUMBER(E62))),"Sem fonte ou data",IF(NOT(AND(LEFT(G62,8)="https://",OR(ISNUMBER(SEARCH(".gov.br",G62)),ISNUMBER(SEARCH(".leg.br",G62)),ISNUMBER(SEARCH(".jus.br",G62)),ISNUMBER(SEARCH(".mp.br",G62))))),"Sem link oficial",IF(OR(NOT(ISNUMBER(C62)),NOT(ISNUMBER(D62)),D62&lt;0,D62&gt;C62),"Valor inválido","Verificável")))))</f>
        <v/>
      </c>
    </row>
    <row r="63" customFormat="false" ht="15" hidden="false" customHeight="true" outlineLevel="0" collapsed="false">
      <c r="A63" s="15"/>
      <c r="B63" s="15"/>
      <c r="C63" s="16"/>
      <c r="D63" s="16"/>
      <c r="E63" s="17"/>
      <c r="F63" s="15"/>
      <c r="G63" s="15"/>
      <c r="H63" s="15"/>
      <c r="I63" s="15"/>
      <c r="J63" s="18" t="str">
        <f aca="false">IF(A63="","",IFERROR(INDEX(Propostas!$B:$B,MATCH(A63,Propostas!$A:$A,0)),IFERROR(INDEX('Lula 2022 (2023-2026)'!$D:$D,MATCH(A63,'Lula 2022 (2023-2026)'!$A:$A,0)),"ID inexistente")))</f>
        <v/>
      </c>
      <c r="K63" s="18" t="str">
        <f aca="false">IF(A63="","",IF(AND(ISNA(MATCH(A63,Propostas!$A:$A,0)),ISNA(MATCH(A63,'Lula 2022 (2023-2026)'!$A:$A,0))),"ID inexistente",IF(OR(F63="",NOT(ISNUMBER(E63))),"Sem fonte ou data",IF(NOT(AND(LEFT(G63,8)="https://",OR(ISNUMBER(SEARCH(".gov.br",G63)),ISNUMBER(SEARCH(".leg.br",G63)),ISNUMBER(SEARCH(".jus.br",G63)),ISNUMBER(SEARCH(".mp.br",G63))))),"Sem link oficial",IF(OR(NOT(ISNUMBER(C63)),NOT(ISNUMBER(D63)),D63&lt;0,D63&gt;C63),"Valor inválido","Verificável")))))</f>
        <v/>
      </c>
    </row>
    <row r="64" customFormat="false" ht="15" hidden="false" customHeight="true" outlineLevel="0" collapsed="false">
      <c r="A64" s="15"/>
      <c r="B64" s="15"/>
      <c r="C64" s="16"/>
      <c r="D64" s="16"/>
      <c r="E64" s="17"/>
      <c r="F64" s="15"/>
      <c r="G64" s="15"/>
      <c r="H64" s="15"/>
      <c r="I64" s="15"/>
      <c r="J64" s="18" t="str">
        <f aca="false">IF(A64="","",IFERROR(INDEX(Propostas!$B:$B,MATCH(A64,Propostas!$A:$A,0)),IFERROR(INDEX('Lula 2022 (2023-2026)'!$D:$D,MATCH(A64,'Lula 2022 (2023-2026)'!$A:$A,0)),"ID inexistente")))</f>
        <v/>
      </c>
      <c r="K64" s="18" t="str">
        <f aca="false">IF(A64="","",IF(AND(ISNA(MATCH(A64,Propostas!$A:$A,0)),ISNA(MATCH(A64,'Lula 2022 (2023-2026)'!$A:$A,0))),"ID inexistente",IF(OR(F64="",NOT(ISNUMBER(E64))),"Sem fonte ou data",IF(NOT(AND(LEFT(G64,8)="https://",OR(ISNUMBER(SEARCH(".gov.br",G64)),ISNUMBER(SEARCH(".leg.br",G64)),ISNUMBER(SEARCH(".jus.br",G64)),ISNUMBER(SEARCH(".mp.br",G64))))),"Sem link oficial",IF(OR(NOT(ISNUMBER(C64)),NOT(ISNUMBER(D64)),D64&lt;0,D64&gt;C64),"Valor inválido","Verificável")))))</f>
        <v/>
      </c>
    </row>
    <row r="65" customFormat="false" ht="15" hidden="false" customHeight="true" outlineLevel="0" collapsed="false">
      <c r="A65" s="15"/>
      <c r="B65" s="15"/>
      <c r="C65" s="16"/>
      <c r="D65" s="16"/>
      <c r="E65" s="17"/>
      <c r="F65" s="15"/>
      <c r="G65" s="15"/>
      <c r="H65" s="15"/>
      <c r="I65" s="15"/>
      <c r="J65" s="18" t="str">
        <f aca="false">IF(A65="","",IFERROR(INDEX(Propostas!$B:$B,MATCH(A65,Propostas!$A:$A,0)),IFERROR(INDEX('Lula 2022 (2023-2026)'!$D:$D,MATCH(A65,'Lula 2022 (2023-2026)'!$A:$A,0)),"ID inexistente")))</f>
        <v/>
      </c>
      <c r="K65" s="18" t="str">
        <f aca="false">IF(A65="","",IF(AND(ISNA(MATCH(A65,Propostas!$A:$A,0)),ISNA(MATCH(A65,'Lula 2022 (2023-2026)'!$A:$A,0))),"ID inexistente",IF(OR(F65="",NOT(ISNUMBER(E65))),"Sem fonte ou data",IF(NOT(AND(LEFT(G65,8)="https://",OR(ISNUMBER(SEARCH(".gov.br",G65)),ISNUMBER(SEARCH(".leg.br",G65)),ISNUMBER(SEARCH(".jus.br",G65)),ISNUMBER(SEARCH(".mp.br",G65))))),"Sem link oficial",IF(OR(NOT(ISNUMBER(C65)),NOT(ISNUMBER(D65)),D65&lt;0,D65&gt;C65),"Valor inválido","Verificável")))))</f>
        <v/>
      </c>
    </row>
    <row r="66" customFormat="false" ht="15" hidden="false" customHeight="true" outlineLevel="0" collapsed="false">
      <c r="A66" s="15"/>
      <c r="B66" s="15"/>
      <c r="C66" s="16"/>
      <c r="D66" s="16"/>
      <c r="E66" s="17"/>
      <c r="F66" s="15"/>
      <c r="G66" s="15"/>
      <c r="H66" s="15"/>
      <c r="I66" s="15"/>
      <c r="J66" s="18" t="str">
        <f aca="false">IF(A66="","",IFERROR(INDEX(Propostas!$B:$B,MATCH(A66,Propostas!$A:$A,0)),IFERROR(INDEX('Lula 2022 (2023-2026)'!$D:$D,MATCH(A66,'Lula 2022 (2023-2026)'!$A:$A,0)),"ID inexistente")))</f>
        <v/>
      </c>
      <c r="K66" s="18" t="str">
        <f aca="false">IF(A66="","",IF(AND(ISNA(MATCH(A66,Propostas!$A:$A,0)),ISNA(MATCH(A66,'Lula 2022 (2023-2026)'!$A:$A,0))),"ID inexistente",IF(OR(F66="",NOT(ISNUMBER(E66))),"Sem fonte ou data",IF(NOT(AND(LEFT(G66,8)="https://",OR(ISNUMBER(SEARCH(".gov.br",G66)),ISNUMBER(SEARCH(".leg.br",G66)),ISNUMBER(SEARCH(".jus.br",G66)),ISNUMBER(SEARCH(".mp.br",G66))))),"Sem link oficial",IF(OR(NOT(ISNUMBER(C66)),NOT(ISNUMBER(D66)),D66&lt;0,D66&gt;C66),"Valor inválido","Verificável")))))</f>
        <v/>
      </c>
    </row>
    <row r="67" customFormat="false" ht="15" hidden="false" customHeight="true" outlineLevel="0" collapsed="false">
      <c r="A67" s="15"/>
      <c r="B67" s="15"/>
      <c r="C67" s="16"/>
      <c r="D67" s="16"/>
      <c r="E67" s="17"/>
      <c r="F67" s="15"/>
      <c r="G67" s="15"/>
      <c r="H67" s="15"/>
      <c r="I67" s="15"/>
      <c r="J67" s="18" t="str">
        <f aca="false">IF(A67="","",IFERROR(INDEX(Propostas!$B:$B,MATCH(A67,Propostas!$A:$A,0)),IFERROR(INDEX('Lula 2022 (2023-2026)'!$D:$D,MATCH(A67,'Lula 2022 (2023-2026)'!$A:$A,0)),"ID inexistente")))</f>
        <v/>
      </c>
      <c r="K67" s="18" t="str">
        <f aca="false">IF(A67="","",IF(AND(ISNA(MATCH(A67,Propostas!$A:$A,0)),ISNA(MATCH(A67,'Lula 2022 (2023-2026)'!$A:$A,0))),"ID inexistente",IF(OR(F67="",NOT(ISNUMBER(E67))),"Sem fonte ou data",IF(NOT(AND(LEFT(G67,8)="https://",OR(ISNUMBER(SEARCH(".gov.br",G67)),ISNUMBER(SEARCH(".leg.br",G67)),ISNUMBER(SEARCH(".jus.br",G67)),ISNUMBER(SEARCH(".mp.br",G67))))),"Sem link oficial",IF(OR(NOT(ISNUMBER(C67)),NOT(ISNUMBER(D67)),D67&lt;0,D67&gt;C67),"Valor inválido","Verificável")))))</f>
        <v/>
      </c>
    </row>
    <row r="68" customFormat="false" ht="15" hidden="false" customHeight="true" outlineLevel="0" collapsed="false">
      <c r="A68" s="15"/>
      <c r="B68" s="15"/>
      <c r="C68" s="16"/>
      <c r="D68" s="16"/>
      <c r="E68" s="17"/>
      <c r="F68" s="15"/>
      <c r="G68" s="15"/>
      <c r="H68" s="15"/>
      <c r="I68" s="15"/>
      <c r="J68" s="18" t="str">
        <f aca="false">IF(A68="","",IFERROR(INDEX(Propostas!$B:$B,MATCH(A68,Propostas!$A:$A,0)),IFERROR(INDEX('Lula 2022 (2023-2026)'!$D:$D,MATCH(A68,'Lula 2022 (2023-2026)'!$A:$A,0)),"ID inexistente")))</f>
        <v/>
      </c>
      <c r="K68" s="18" t="str">
        <f aca="false">IF(A68="","",IF(AND(ISNA(MATCH(A68,Propostas!$A:$A,0)),ISNA(MATCH(A68,'Lula 2022 (2023-2026)'!$A:$A,0))),"ID inexistente",IF(OR(F68="",NOT(ISNUMBER(E68))),"Sem fonte ou data",IF(NOT(AND(LEFT(G68,8)="https://",OR(ISNUMBER(SEARCH(".gov.br",G68)),ISNUMBER(SEARCH(".leg.br",G68)),ISNUMBER(SEARCH(".jus.br",G68)),ISNUMBER(SEARCH(".mp.br",G68))))),"Sem link oficial",IF(OR(NOT(ISNUMBER(C68)),NOT(ISNUMBER(D68)),D68&lt;0,D68&gt;C68),"Valor inválido","Verificável")))))</f>
        <v/>
      </c>
    </row>
    <row r="69" customFormat="false" ht="15" hidden="false" customHeight="true" outlineLevel="0" collapsed="false">
      <c r="A69" s="15"/>
      <c r="B69" s="15"/>
      <c r="C69" s="16"/>
      <c r="D69" s="16"/>
      <c r="E69" s="17"/>
      <c r="F69" s="15"/>
      <c r="G69" s="15"/>
      <c r="H69" s="15"/>
      <c r="I69" s="15"/>
      <c r="J69" s="18" t="str">
        <f aca="false">IF(A69="","",IFERROR(INDEX(Propostas!$B:$B,MATCH(A69,Propostas!$A:$A,0)),IFERROR(INDEX('Lula 2022 (2023-2026)'!$D:$D,MATCH(A69,'Lula 2022 (2023-2026)'!$A:$A,0)),"ID inexistente")))</f>
        <v/>
      </c>
      <c r="K69" s="18" t="str">
        <f aca="false">IF(A69="","",IF(AND(ISNA(MATCH(A69,Propostas!$A:$A,0)),ISNA(MATCH(A69,'Lula 2022 (2023-2026)'!$A:$A,0))),"ID inexistente",IF(OR(F69="",NOT(ISNUMBER(E69))),"Sem fonte ou data",IF(NOT(AND(LEFT(G69,8)="https://",OR(ISNUMBER(SEARCH(".gov.br",G69)),ISNUMBER(SEARCH(".leg.br",G69)),ISNUMBER(SEARCH(".jus.br",G69)),ISNUMBER(SEARCH(".mp.br",G69))))),"Sem link oficial",IF(OR(NOT(ISNUMBER(C69)),NOT(ISNUMBER(D69)),D69&lt;0,D69&gt;C69),"Valor inválido","Verificável")))))</f>
        <v/>
      </c>
    </row>
    <row r="70" customFormat="false" ht="15" hidden="false" customHeight="true" outlineLevel="0" collapsed="false">
      <c r="A70" s="15"/>
      <c r="B70" s="15"/>
      <c r="C70" s="16"/>
      <c r="D70" s="16"/>
      <c r="E70" s="17"/>
      <c r="F70" s="15"/>
      <c r="G70" s="15"/>
      <c r="H70" s="15"/>
      <c r="I70" s="15"/>
      <c r="J70" s="18" t="str">
        <f aca="false">IF(A70="","",IFERROR(INDEX(Propostas!$B:$B,MATCH(A70,Propostas!$A:$A,0)),IFERROR(INDEX('Lula 2022 (2023-2026)'!$D:$D,MATCH(A70,'Lula 2022 (2023-2026)'!$A:$A,0)),"ID inexistente")))</f>
        <v/>
      </c>
      <c r="K70" s="18" t="str">
        <f aca="false">IF(A70="","",IF(AND(ISNA(MATCH(A70,Propostas!$A:$A,0)),ISNA(MATCH(A70,'Lula 2022 (2023-2026)'!$A:$A,0))),"ID inexistente",IF(OR(F70="",NOT(ISNUMBER(E70))),"Sem fonte ou data",IF(NOT(AND(LEFT(G70,8)="https://",OR(ISNUMBER(SEARCH(".gov.br",G70)),ISNUMBER(SEARCH(".leg.br",G70)),ISNUMBER(SEARCH(".jus.br",G70)),ISNUMBER(SEARCH(".mp.br",G70))))),"Sem link oficial",IF(OR(NOT(ISNUMBER(C70)),NOT(ISNUMBER(D70)),D70&lt;0,D70&gt;C70),"Valor inválido","Verificável")))))</f>
        <v/>
      </c>
    </row>
    <row r="71" customFormat="false" ht="15" hidden="false" customHeight="true" outlineLevel="0" collapsed="false">
      <c r="A71" s="15"/>
      <c r="B71" s="15"/>
      <c r="C71" s="16"/>
      <c r="D71" s="16"/>
      <c r="E71" s="17"/>
      <c r="F71" s="15"/>
      <c r="G71" s="15"/>
      <c r="H71" s="15"/>
      <c r="I71" s="15"/>
      <c r="J71" s="18" t="str">
        <f aca="false">IF(A71="","",IFERROR(INDEX(Propostas!$B:$B,MATCH(A71,Propostas!$A:$A,0)),IFERROR(INDEX('Lula 2022 (2023-2026)'!$D:$D,MATCH(A71,'Lula 2022 (2023-2026)'!$A:$A,0)),"ID inexistente")))</f>
        <v/>
      </c>
      <c r="K71" s="18" t="str">
        <f aca="false">IF(A71="","",IF(AND(ISNA(MATCH(A71,Propostas!$A:$A,0)),ISNA(MATCH(A71,'Lula 2022 (2023-2026)'!$A:$A,0))),"ID inexistente",IF(OR(F71="",NOT(ISNUMBER(E71))),"Sem fonte ou data",IF(NOT(AND(LEFT(G71,8)="https://",OR(ISNUMBER(SEARCH(".gov.br",G71)),ISNUMBER(SEARCH(".leg.br",G71)),ISNUMBER(SEARCH(".jus.br",G71)),ISNUMBER(SEARCH(".mp.br",G71))))),"Sem link oficial",IF(OR(NOT(ISNUMBER(C71)),NOT(ISNUMBER(D71)),D71&lt;0,D71&gt;C71),"Valor inválido","Verificável")))))</f>
        <v/>
      </c>
    </row>
    <row r="72" customFormat="false" ht="15" hidden="false" customHeight="true" outlineLevel="0" collapsed="false">
      <c r="A72" s="15"/>
      <c r="B72" s="15"/>
      <c r="C72" s="16"/>
      <c r="D72" s="16"/>
      <c r="E72" s="17"/>
      <c r="F72" s="15"/>
      <c r="G72" s="15"/>
      <c r="H72" s="15"/>
      <c r="I72" s="15"/>
      <c r="J72" s="18" t="str">
        <f aca="false">IF(A72="","",IFERROR(INDEX(Propostas!$B:$B,MATCH(A72,Propostas!$A:$A,0)),IFERROR(INDEX('Lula 2022 (2023-2026)'!$D:$D,MATCH(A72,'Lula 2022 (2023-2026)'!$A:$A,0)),"ID inexistente")))</f>
        <v/>
      </c>
      <c r="K72" s="18" t="str">
        <f aca="false">IF(A72="","",IF(AND(ISNA(MATCH(A72,Propostas!$A:$A,0)),ISNA(MATCH(A72,'Lula 2022 (2023-2026)'!$A:$A,0))),"ID inexistente",IF(OR(F72="",NOT(ISNUMBER(E72))),"Sem fonte ou data",IF(NOT(AND(LEFT(G72,8)="https://",OR(ISNUMBER(SEARCH(".gov.br",G72)),ISNUMBER(SEARCH(".leg.br",G72)),ISNUMBER(SEARCH(".jus.br",G72)),ISNUMBER(SEARCH(".mp.br",G72))))),"Sem link oficial",IF(OR(NOT(ISNUMBER(C72)),NOT(ISNUMBER(D72)),D72&lt;0,D72&gt;C72),"Valor inválido","Verificável")))))</f>
        <v/>
      </c>
    </row>
    <row r="73" customFormat="false" ht="15" hidden="false" customHeight="true" outlineLevel="0" collapsed="false">
      <c r="A73" s="15"/>
      <c r="B73" s="15"/>
      <c r="C73" s="16"/>
      <c r="D73" s="16"/>
      <c r="E73" s="17"/>
      <c r="F73" s="15"/>
      <c r="G73" s="15"/>
      <c r="H73" s="15"/>
      <c r="I73" s="15"/>
      <c r="J73" s="18" t="str">
        <f aca="false">IF(A73="","",IFERROR(INDEX(Propostas!$B:$B,MATCH(A73,Propostas!$A:$A,0)),IFERROR(INDEX('Lula 2022 (2023-2026)'!$D:$D,MATCH(A73,'Lula 2022 (2023-2026)'!$A:$A,0)),"ID inexistente")))</f>
        <v/>
      </c>
      <c r="K73" s="18" t="str">
        <f aca="false">IF(A73="","",IF(AND(ISNA(MATCH(A73,Propostas!$A:$A,0)),ISNA(MATCH(A73,'Lula 2022 (2023-2026)'!$A:$A,0))),"ID inexistente",IF(OR(F73="",NOT(ISNUMBER(E73))),"Sem fonte ou data",IF(NOT(AND(LEFT(G73,8)="https://",OR(ISNUMBER(SEARCH(".gov.br",G73)),ISNUMBER(SEARCH(".leg.br",G73)),ISNUMBER(SEARCH(".jus.br",G73)),ISNUMBER(SEARCH(".mp.br",G73))))),"Sem link oficial",IF(OR(NOT(ISNUMBER(C73)),NOT(ISNUMBER(D73)),D73&lt;0,D73&gt;C73),"Valor inválido","Verificável")))))</f>
        <v/>
      </c>
    </row>
    <row r="74" customFormat="false" ht="15" hidden="false" customHeight="true" outlineLevel="0" collapsed="false">
      <c r="A74" s="15"/>
      <c r="B74" s="15"/>
      <c r="C74" s="16"/>
      <c r="D74" s="16"/>
      <c r="E74" s="17"/>
      <c r="F74" s="15"/>
      <c r="G74" s="15"/>
      <c r="H74" s="15"/>
      <c r="I74" s="15"/>
      <c r="J74" s="18" t="str">
        <f aca="false">IF(A74="","",IFERROR(INDEX(Propostas!$B:$B,MATCH(A74,Propostas!$A:$A,0)),IFERROR(INDEX('Lula 2022 (2023-2026)'!$D:$D,MATCH(A74,'Lula 2022 (2023-2026)'!$A:$A,0)),"ID inexistente")))</f>
        <v/>
      </c>
      <c r="K74" s="18" t="str">
        <f aca="false">IF(A74="","",IF(AND(ISNA(MATCH(A74,Propostas!$A:$A,0)),ISNA(MATCH(A74,'Lula 2022 (2023-2026)'!$A:$A,0))),"ID inexistente",IF(OR(F74="",NOT(ISNUMBER(E74))),"Sem fonte ou data",IF(NOT(AND(LEFT(G74,8)="https://",OR(ISNUMBER(SEARCH(".gov.br",G74)),ISNUMBER(SEARCH(".leg.br",G74)),ISNUMBER(SEARCH(".jus.br",G74)),ISNUMBER(SEARCH(".mp.br",G74))))),"Sem link oficial",IF(OR(NOT(ISNUMBER(C74)),NOT(ISNUMBER(D74)),D74&lt;0,D74&gt;C74),"Valor inválido","Verificável")))))</f>
        <v/>
      </c>
    </row>
    <row r="75" customFormat="false" ht="15" hidden="false" customHeight="true" outlineLevel="0" collapsed="false">
      <c r="A75" s="15"/>
      <c r="B75" s="15"/>
      <c r="C75" s="16"/>
      <c r="D75" s="16"/>
      <c r="E75" s="17"/>
      <c r="F75" s="15"/>
      <c r="G75" s="15"/>
      <c r="H75" s="15"/>
      <c r="I75" s="15"/>
      <c r="J75" s="18" t="str">
        <f aca="false">IF(A75="","",IFERROR(INDEX(Propostas!$B:$B,MATCH(A75,Propostas!$A:$A,0)),IFERROR(INDEX('Lula 2022 (2023-2026)'!$D:$D,MATCH(A75,'Lula 2022 (2023-2026)'!$A:$A,0)),"ID inexistente")))</f>
        <v/>
      </c>
      <c r="K75" s="18" t="str">
        <f aca="false">IF(A75="","",IF(AND(ISNA(MATCH(A75,Propostas!$A:$A,0)),ISNA(MATCH(A75,'Lula 2022 (2023-2026)'!$A:$A,0))),"ID inexistente",IF(OR(F75="",NOT(ISNUMBER(E75))),"Sem fonte ou data",IF(NOT(AND(LEFT(G75,8)="https://",OR(ISNUMBER(SEARCH(".gov.br",G75)),ISNUMBER(SEARCH(".leg.br",G75)),ISNUMBER(SEARCH(".jus.br",G75)),ISNUMBER(SEARCH(".mp.br",G75))))),"Sem link oficial",IF(OR(NOT(ISNUMBER(C75)),NOT(ISNUMBER(D75)),D75&lt;0,D75&gt;C75),"Valor inválido","Verificável")))))</f>
        <v/>
      </c>
    </row>
    <row r="76" customFormat="false" ht="15" hidden="false" customHeight="true" outlineLevel="0" collapsed="false">
      <c r="A76" s="15"/>
      <c r="B76" s="15"/>
      <c r="C76" s="16"/>
      <c r="D76" s="16"/>
      <c r="E76" s="17"/>
      <c r="F76" s="15"/>
      <c r="G76" s="15"/>
      <c r="H76" s="15"/>
      <c r="I76" s="15"/>
      <c r="J76" s="18" t="str">
        <f aca="false">IF(A76="","",IFERROR(INDEX(Propostas!$B:$B,MATCH(A76,Propostas!$A:$A,0)),IFERROR(INDEX('Lula 2022 (2023-2026)'!$D:$D,MATCH(A76,'Lula 2022 (2023-2026)'!$A:$A,0)),"ID inexistente")))</f>
        <v/>
      </c>
      <c r="K76" s="18" t="str">
        <f aca="false">IF(A76="","",IF(AND(ISNA(MATCH(A76,Propostas!$A:$A,0)),ISNA(MATCH(A76,'Lula 2022 (2023-2026)'!$A:$A,0))),"ID inexistente",IF(OR(F76="",NOT(ISNUMBER(E76))),"Sem fonte ou data",IF(NOT(AND(LEFT(G76,8)="https://",OR(ISNUMBER(SEARCH(".gov.br",G76)),ISNUMBER(SEARCH(".leg.br",G76)),ISNUMBER(SEARCH(".jus.br",G76)),ISNUMBER(SEARCH(".mp.br",G76))))),"Sem link oficial",IF(OR(NOT(ISNUMBER(C76)),NOT(ISNUMBER(D76)),D76&lt;0,D76&gt;C76),"Valor inválido","Verificável")))))</f>
        <v/>
      </c>
    </row>
    <row r="77" customFormat="false" ht="15" hidden="false" customHeight="true" outlineLevel="0" collapsed="false">
      <c r="A77" s="15"/>
      <c r="B77" s="15"/>
      <c r="C77" s="16"/>
      <c r="D77" s="16"/>
      <c r="E77" s="17"/>
      <c r="F77" s="15"/>
      <c r="G77" s="15"/>
      <c r="H77" s="15"/>
      <c r="I77" s="15"/>
      <c r="J77" s="18" t="str">
        <f aca="false">IF(A77="","",IFERROR(INDEX(Propostas!$B:$B,MATCH(A77,Propostas!$A:$A,0)),IFERROR(INDEX('Lula 2022 (2023-2026)'!$D:$D,MATCH(A77,'Lula 2022 (2023-2026)'!$A:$A,0)),"ID inexistente")))</f>
        <v/>
      </c>
      <c r="K77" s="18" t="str">
        <f aca="false">IF(A77="","",IF(AND(ISNA(MATCH(A77,Propostas!$A:$A,0)),ISNA(MATCH(A77,'Lula 2022 (2023-2026)'!$A:$A,0))),"ID inexistente",IF(OR(F77="",NOT(ISNUMBER(E77))),"Sem fonte ou data",IF(NOT(AND(LEFT(G77,8)="https://",OR(ISNUMBER(SEARCH(".gov.br",G77)),ISNUMBER(SEARCH(".leg.br",G77)),ISNUMBER(SEARCH(".jus.br",G77)),ISNUMBER(SEARCH(".mp.br",G77))))),"Sem link oficial",IF(OR(NOT(ISNUMBER(C77)),NOT(ISNUMBER(D77)),D77&lt;0,D77&gt;C77),"Valor inválido","Verificável")))))</f>
        <v/>
      </c>
    </row>
    <row r="78" customFormat="false" ht="15" hidden="false" customHeight="true" outlineLevel="0" collapsed="false">
      <c r="A78" s="15"/>
      <c r="B78" s="15"/>
      <c r="C78" s="16"/>
      <c r="D78" s="16"/>
      <c r="E78" s="17"/>
      <c r="F78" s="15"/>
      <c r="G78" s="15"/>
      <c r="H78" s="15"/>
      <c r="I78" s="15"/>
      <c r="J78" s="18" t="str">
        <f aca="false">IF(A78="","",IFERROR(INDEX(Propostas!$B:$B,MATCH(A78,Propostas!$A:$A,0)),IFERROR(INDEX('Lula 2022 (2023-2026)'!$D:$D,MATCH(A78,'Lula 2022 (2023-2026)'!$A:$A,0)),"ID inexistente")))</f>
        <v/>
      </c>
      <c r="K78" s="18" t="str">
        <f aca="false">IF(A78="","",IF(AND(ISNA(MATCH(A78,Propostas!$A:$A,0)),ISNA(MATCH(A78,'Lula 2022 (2023-2026)'!$A:$A,0))),"ID inexistente",IF(OR(F78="",NOT(ISNUMBER(E78))),"Sem fonte ou data",IF(NOT(AND(LEFT(G78,8)="https://",OR(ISNUMBER(SEARCH(".gov.br",G78)),ISNUMBER(SEARCH(".leg.br",G78)),ISNUMBER(SEARCH(".jus.br",G78)),ISNUMBER(SEARCH(".mp.br",G78))))),"Sem link oficial",IF(OR(NOT(ISNUMBER(C78)),NOT(ISNUMBER(D78)),D78&lt;0,D78&gt;C78),"Valor inválido","Verificável")))))</f>
        <v/>
      </c>
    </row>
    <row r="79" customFormat="false" ht="15" hidden="false" customHeight="true" outlineLevel="0" collapsed="false">
      <c r="A79" s="15"/>
      <c r="B79" s="15"/>
      <c r="C79" s="16"/>
      <c r="D79" s="16"/>
      <c r="E79" s="17"/>
      <c r="F79" s="15"/>
      <c r="G79" s="15"/>
      <c r="H79" s="15"/>
      <c r="I79" s="15"/>
      <c r="J79" s="18" t="str">
        <f aca="false">IF(A79="","",IFERROR(INDEX(Propostas!$B:$B,MATCH(A79,Propostas!$A:$A,0)),IFERROR(INDEX('Lula 2022 (2023-2026)'!$D:$D,MATCH(A79,'Lula 2022 (2023-2026)'!$A:$A,0)),"ID inexistente")))</f>
        <v/>
      </c>
      <c r="K79" s="18" t="str">
        <f aca="false">IF(A79="","",IF(AND(ISNA(MATCH(A79,Propostas!$A:$A,0)),ISNA(MATCH(A79,'Lula 2022 (2023-2026)'!$A:$A,0))),"ID inexistente",IF(OR(F79="",NOT(ISNUMBER(E79))),"Sem fonte ou data",IF(NOT(AND(LEFT(G79,8)="https://",OR(ISNUMBER(SEARCH(".gov.br",G79)),ISNUMBER(SEARCH(".leg.br",G79)),ISNUMBER(SEARCH(".jus.br",G79)),ISNUMBER(SEARCH(".mp.br",G79))))),"Sem link oficial",IF(OR(NOT(ISNUMBER(C79)),NOT(ISNUMBER(D79)),D79&lt;0,D79&gt;C79),"Valor inválido","Verificável")))))</f>
        <v/>
      </c>
    </row>
    <row r="80" customFormat="false" ht="15" hidden="false" customHeight="true" outlineLevel="0" collapsed="false">
      <c r="A80" s="15"/>
      <c r="B80" s="15"/>
      <c r="C80" s="16"/>
      <c r="D80" s="16"/>
      <c r="E80" s="17"/>
      <c r="F80" s="15"/>
      <c r="G80" s="15"/>
      <c r="H80" s="15"/>
      <c r="I80" s="15"/>
      <c r="J80" s="18" t="str">
        <f aca="false">IF(A80="","",IFERROR(INDEX(Propostas!$B:$B,MATCH(A80,Propostas!$A:$A,0)),IFERROR(INDEX('Lula 2022 (2023-2026)'!$D:$D,MATCH(A80,'Lula 2022 (2023-2026)'!$A:$A,0)),"ID inexistente")))</f>
        <v/>
      </c>
      <c r="K80" s="18" t="str">
        <f aca="false">IF(A80="","",IF(AND(ISNA(MATCH(A80,Propostas!$A:$A,0)),ISNA(MATCH(A80,'Lula 2022 (2023-2026)'!$A:$A,0))),"ID inexistente",IF(OR(F80="",NOT(ISNUMBER(E80))),"Sem fonte ou data",IF(NOT(AND(LEFT(G80,8)="https://",OR(ISNUMBER(SEARCH(".gov.br",G80)),ISNUMBER(SEARCH(".leg.br",G80)),ISNUMBER(SEARCH(".jus.br",G80)),ISNUMBER(SEARCH(".mp.br",G80))))),"Sem link oficial",IF(OR(NOT(ISNUMBER(C80)),NOT(ISNUMBER(D80)),D80&lt;0,D80&gt;C80),"Valor inválido","Verificável")))))</f>
        <v/>
      </c>
    </row>
    <row r="81" customFormat="false" ht="15" hidden="false" customHeight="true" outlineLevel="0" collapsed="false">
      <c r="A81" s="15"/>
      <c r="B81" s="15"/>
      <c r="C81" s="16"/>
      <c r="D81" s="16"/>
      <c r="E81" s="17"/>
      <c r="F81" s="15"/>
      <c r="G81" s="15"/>
      <c r="H81" s="15"/>
      <c r="I81" s="15"/>
      <c r="J81" s="18" t="str">
        <f aca="false">IF(A81="","",IFERROR(INDEX(Propostas!$B:$B,MATCH(A81,Propostas!$A:$A,0)),IFERROR(INDEX('Lula 2022 (2023-2026)'!$D:$D,MATCH(A81,'Lula 2022 (2023-2026)'!$A:$A,0)),"ID inexistente")))</f>
        <v/>
      </c>
      <c r="K81" s="18" t="str">
        <f aca="false">IF(A81="","",IF(AND(ISNA(MATCH(A81,Propostas!$A:$A,0)),ISNA(MATCH(A81,'Lula 2022 (2023-2026)'!$A:$A,0))),"ID inexistente",IF(OR(F81="",NOT(ISNUMBER(E81))),"Sem fonte ou data",IF(NOT(AND(LEFT(G81,8)="https://",OR(ISNUMBER(SEARCH(".gov.br",G81)),ISNUMBER(SEARCH(".leg.br",G81)),ISNUMBER(SEARCH(".jus.br",G81)),ISNUMBER(SEARCH(".mp.br",G81))))),"Sem link oficial",IF(OR(NOT(ISNUMBER(C81)),NOT(ISNUMBER(D81)),D81&lt;0,D81&gt;C81),"Valor inválido","Verificável")))))</f>
        <v/>
      </c>
    </row>
    <row r="82" customFormat="false" ht="15" hidden="false" customHeight="true" outlineLevel="0" collapsed="false">
      <c r="A82" s="15"/>
      <c r="B82" s="15"/>
      <c r="C82" s="16"/>
      <c r="D82" s="16"/>
      <c r="E82" s="17"/>
      <c r="F82" s="15"/>
      <c r="G82" s="15"/>
      <c r="H82" s="15"/>
      <c r="I82" s="15"/>
      <c r="J82" s="18" t="str">
        <f aca="false">IF(A82="","",IFERROR(INDEX(Propostas!$B:$B,MATCH(A82,Propostas!$A:$A,0)),IFERROR(INDEX('Lula 2022 (2023-2026)'!$D:$D,MATCH(A82,'Lula 2022 (2023-2026)'!$A:$A,0)),"ID inexistente")))</f>
        <v/>
      </c>
      <c r="K82" s="18" t="str">
        <f aca="false">IF(A82="","",IF(AND(ISNA(MATCH(A82,Propostas!$A:$A,0)),ISNA(MATCH(A82,'Lula 2022 (2023-2026)'!$A:$A,0))),"ID inexistente",IF(OR(F82="",NOT(ISNUMBER(E82))),"Sem fonte ou data",IF(NOT(AND(LEFT(G82,8)="https://",OR(ISNUMBER(SEARCH(".gov.br",G82)),ISNUMBER(SEARCH(".leg.br",G82)),ISNUMBER(SEARCH(".jus.br",G82)),ISNUMBER(SEARCH(".mp.br",G82))))),"Sem link oficial",IF(OR(NOT(ISNUMBER(C82)),NOT(ISNUMBER(D82)),D82&lt;0,D82&gt;C82),"Valor inválido","Verificável")))))</f>
        <v/>
      </c>
    </row>
    <row r="83" customFormat="false" ht="15" hidden="false" customHeight="true" outlineLevel="0" collapsed="false">
      <c r="A83" s="15"/>
      <c r="B83" s="15"/>
      <c r="C83" s="16"/>
      <c r="D83" s="16"/>
      <c r="E83" s="17"/>
      <c r="F83" s="15"/>
      <c r="G83" s="15"/>
      <c r="H83" s="15"/>
      <c r="I83" s="15"/>
      <c r="J83" s="18" t="str">
        <f aca="false">IF(A83="","",IFERROR(INDEX(Propostas!$B:$B,MATCH(A83,Propostas!$A:$A,0)),IFERROR(INDEX('Lula 2022 (2023-2026)'!$D:$D,MATCH(A83,'Lula 2022 (2023-2026)'!$A:$A,0)),"ID inexistente")))</f>
        <v/>
      </c>
      <c r="K83" s="18" t="str">
        <f aca="false">IF(A83="","",IF(AND(ISNA(MATCH(A83,Propostas!$A:$A,0)),ISNA(MATCH(A83,'Lula 2022 (2023-2026)'!$A:$A,0))),"ID inexistente",IF(OR(F83="",NOT(ISNUMBER(E83))),"Sem fonte ou data",IF(NOT(AND(LEFT(G83,8)="https://",OR(ISNUMBER(SEARCH(".gov.br",G83)),ISNUMBER(SEARCH(".leg.br",G83)),ISNUMBER(SEARCH(".jus.br",G83)),ISNUMBER(SEARCH(".mp.br",G83))))),"Sem link oficial",IF(OR(NOT(ISNUMBER(C83)),NOT(ISNUMBER(D83)),D83&lt;0,D83&gt;C83),"Valor inválido","Verificável")))))</f>
        <v/>
      </c>
    </row>
    <row r="84" customFormat="false" ht="15" hidden="false" customHeight="true" outlineLevel="0" collapsed="false">
      <c r="A84" s="15"/>
      <c r="B84" s="15"/>
      <c r="C84" s="16"/>
      <c r="D84" s="16"/>
      <c r="E84" s="17"/>
      <c r="F84" s="15"/>
      <c r="G84" s="15"/>
      <c r="H84" s="15"/>
      <c r="I84" s="15"/>
      <c r="J84" s="18" t="str">
        <f aca="false">IF(A84="","",IFERROR(INDEX(Propostas!$B:$B,MATCH(A84,Propostas!$A:$A,0)),IFERROR(INDEX('Lula 2022 (2023-2026)'!$D:$D,MATCH(A84,'Lula 2022 (2023-2026)'!$A:$A,0)),"ID inexistente")))</f>
        <v/>
      </c>
      <c r="K84" s="18" t="str">
        <f aca="false">IF(A84="","",IF(AND(ISNA(MATCH(A84,Propostas!$A:$A,0)),ISNA(MATCH(A84,'Lula 2022 (2023-2026)'!$A:$A,0))),"ID inexistente",IF(OR(F84="",NOT(ISNUMBER(E84))),"Sem fonte ou data",IF(NOT(AND(LEFT(G84,8)="https://",OR(ISNUMBER(SEARCH(".gov.br",G84)),ISNUMBER(SEARCH(".leg.br",G84)),ISNUMBER(SEARCH(".jus.br",G84)),ISNUMBER(SEARCH(".mp.br",G84))))),"Sem link oficial",IF(OR(NOT(ISNUMBER(C84)),NOT(ISNUMBER(D84)),D84&lt;0,D84&gt;C84),"Valor inválido","Verificável")))))</f>
        <v/>
      </c>
    </row>
    <row r="85" customFormat="false" ht="15" hidden="false" customHeight="true" outlineLevel="0" collapsed="false">
      <c r="A85" s="15"/>
      <c r="B85" s="15"/>
      <c r="C85" s="16"/>
      <c r="D85" s="16"/>
      <c r="E85" s="17"/>
      <c r="F85" s="15"/>
      <c r="G85" s="15"/>
      <c r="H85" s="15"/>
      <c r="I85" s="15"/>
      <c r="J85" s="18" t="str">
        <f aca="false">IF(A85="","",IFERROR(INDEX(Propostas!$B:$B,MATCH(A85,Propostas!$A:$A,0)),IFERROR(INDEX('Lula 2022 (2023-2026)'!$D:$D,MATCH(A85,'Lula 2022 (2023-2026)'!$A:$A,0)),"ID inexistente")))</f>
        <v/>
      </c>
      <c r="K85" s="18" t="str">
        <f aca="false">IF(A85="","",IF(AND(ISNA(MATCH(A85,Propostas!$A:$A,0)),ISNA(MATCH(A85,'Lula 2022 (2023-2026)'!$A:$A,0))),"ID inexistente",IF(OR(F85="",NOT(ISNUMBER(E85))),"Sem fonte ou data",IF(NOT(AND(LEFT(G85,8)="https://",OR(ISNUMBER(SEARCH(".gov.br",G85)),ISNUMBER(SEARCH(".leg.br",G85)),ISNUMBER(SEARCH(".jus.br",G85)),ISNUMBER(SEARCH(".mp.br",G85))))),"Sem link oficial",IF(OR(NOT(ISNUMBER(C85)),NOT(ISNUMBER(D85)),D85&lt;0,D85&gt;C85),"Valor inválido","Verificável")))))</f>
        <v/>
      </c>
    </row>
    <row r="86" customFormat="false" ht="15" hidden="false" customHeight="true" outlineLevel="0" collapsed="false">
      <c r="A86" s="15"/>
      <c r="B86" s="15"/>
      <c r="C86" s="16"/>
      <c r="D86" s="16"/>
      <c r="E86" s="17"/>
      <c r="F86" s="15"/>
      <c r="G86" s="15"/>
      <c r="H86" s="15"/>
      <c r="I86" s="15"/>
      <c r="J86" s="18" t="str">
        <f aca="false">IF(A86="","",IFERROR(INDEX(Propostas!$B:$B,MATCH(A86,Propostas!$A:$A,0)),IFERROR(INDEX('Lula 2022 (2023-2026)'!$D:$D,MATCH(A86,'Lula 2022 (2023-2026)'!$A:$A,0)),"ID inexistente")))</f>
        <v/>
      </c>
      <c r="K86" s="18" t="str">
        <f aca="false">IF(A86="","",IF(AND(ISNA(MATCH(A86,Propostas!$A:$A,0)),ISNA(MATCH(A86,'Lula 2022 (2023-2026)'!$A:$A,0))),"ID inexistente",IF(OR(F86="",NOT(ISNUMBER(E86))),"Sem fonte ou data",IF(NOT(AND(LEFT(G86,8)="https://",OR(ISNUMBER(SEARCH(".gov.br",G86)),ISNUMBER(SEARCH(".leg.br",G86)),ISNUMBER(SEARCH(".jus.br",G86)),ISNUMBER(SEARCH(".mp.br",G86))))),"Sem link oficial",IF(OR(NOT(ISNUMBER(C86)),NOT(ISNUMBER(D86)),D86&lt;0,D86&gt;C86),"Valor inválido","Verificável")))))</f>
        <v/>
      </c>
    </row>
    <row r="87" customFormat="false" ht="15" hidden="false" customHeight="true" outlineLevel="0" collapsed="false">
      <c r="A87" s="15"/>
      <c r="B87" s="15"/>
      <c r="C87" s="16"/>
      <c r="D87" s="16"/>
      <c r="E87" s="17"/>
      <c r="F87" s="15"/>
      <c r="G87" s="15"/>
      <c r="H87" s="15"/>
      <c r="I87" s="15"/>
      <c r="J87" s="18" t="str">
        <f aca="false">IF(A87="","",IFERROR(INDEX(Propostas!$B:$B,MATCH(A87,Propostas!$A:$A,0)),IFERROR(INDEX('Lula 2022 (2023-2026)'!$D:$D,MATCH(A87,'Lula 2022 (2023-2026)'!$A:$A,0)),"ID inexistente")))</f>
        <v/>
      </c>
      <c r="K87" s="18" t="str">
        <f aca="false">IF(A87="","",IF(AND(ISNA(MATCH(A87,Propostas!$A:$A,0)),ISNA(MATCH(A87,'Lula 2022 (2023-2026)'!$A:$A,0))),"ID inexistente",IF(OR(F87="",NOT(ISNUMBER(E87))),"Sem fonte ou data",IF(NOT(AND(LEFT(G87,8)="https://",OR(ISNUMBER(SEARCH(".gov.br",G87)),ISNUMBER(SEARCH(".leg.br",G87)),ISNUMBER(SEARCH(".jus.br",G87)),ISNUMBER(SEARCH(".mp.br",G87))))),"Sem link oficial",IF(OR(NOT(ISNUMBER(C87)),NOT(ISNUMBER(D87)),D87&lt;0,D87&gt;C87),"Valor inválido","Verificável")))))</f>
        <v/>
      </c>
    </row>
    <row r="88" customFormat="false" ht="15" hidden="false" customHeight="true" outlineLevel="0" collapsed="false">
      <c r="A88" s="15"/>
      <c r="B88" s="15"/>
      <c r="C88" s="16"/>
      <c r="D88" s="16"/>
      <c r="E88" s="17"/>
      <c r="F88" s="15"/>
      <c r="G88" s="15"/>
      <c r="H88" s="15"/>
      <c r="I88" s="15"/>
      <c r="J88" s="18" t="str">
        <f aca="false">IF(A88="","",IFERROR(INDEX(Propostas!$B:$B,MATCH(A88,Propostas!$A:$A,0)),IFERROR(INDEX('Lula 2022 (2023-2026)'!$D:$D,MATCH(A88,'Lula 2022 (2023-2026)'!$A:$A,0)),"ID inexistente")))</f>
        <v/>
      </c>
      <c r="K88" s="18" t="str">
        <f aca="false">IF(A88="","",IF(AND(ISNA(MATCH(A88,Propostas!$A:$A,0)),ISNA(MATCH(A88,'Lula 2022 (2023-2026)'!$A:$A,0))),"ID inexistente",IF(OR(F88="",NOT(ISNUMBER(E88))),"Sem fonte ou data",IF(NOT(AND(LEFT(G88,8)="https://",OR(ISNUMBER(SEARCH(".gov.br",G88)),ISNUMBER(SEARCH(".leg.br",G88)),ISNUMBER(SEARCH(".jus.br",G88)),ISNUMBER(SEARCH(".mp.br",G88))))),"Sem link oficial",IF(OR(NOT(ISNUMBER(C88)),NOT(ISNUMBER(D88)),D88&lt;0,D88&gt;C88),"Valor inválido","Verificável")))))</f>
        <v/>
      </c>
    </row>
    <row r="89" customFormat="false" ht="15" hidden="false" customHeight="true" outlineLevel="0" collapsed="false">
      <c r="A89" s="15"/>
      <c r="B89" s="15"/>
      <c r="C89" s="16"/>
      <c r="D89" s="16"/>
      <c r="E89" s="17"/>
      <c r="F89" s="15"/>
      <c r="G89" s="15"/>
      <c r="H89" s="15"/>
      <c r="I89" s="15"/>
      <c r="J89" s="18" t="str">
        <f aca="false">IF(A89="","",IFERROR(INDEX(Propostas!$B:$B,MATCH(A89,Propostas!$A:$A,0)),IFERROR(INDEX('Lula 2022 (2023-2026)'!$D:$D,MATCH(A89,'Lula 2022 (2023-2026)'!$A:$A,0)),"ID inexistente")))</f>
        <v/>
      </c>
      <c r="K89" s="18" t="str">
        <f aca="false">IF(A89="","",IF(AND(ISNA(MATCH(A89,Propostas!$A:$A,0)),ISNA(MATCH(A89,'Lula 2022 (2023-2026)'!$A:$A,0))),"ID inexistente",IF(OR(F89="",NOT(ISNUMBER(E89))),"Sem fonte ou data",IF(NOT(AND(LEFT(G89,8)="https://",OR(ISNUMBER(SEARCH(".gov.br",G89)),ISNUMBER(SEARCH(".leg.br",G89)),ISNUMBER(SEARCH(".jus.br",G89)),ISNUMBER(SEARCH(".mp.br",G89))))),"Sem link oficial",IF(OR(NOT(ISNUMBER(C89)),NOT(ISNUMBER(D89)),D89&lt;0,D89&gt;C89),"Valor inválido","Verificável")))))</f>
        <v/>
      </c>
    </row>
    <row r="90" customFormat="false" ht="15" hidden="false" customHeight="true" outlineLevel="0" collapsed="false">
      <c r="A90" s="15"/>
      <c r="B90" s="15"/>
      <c r="C90" s="16"/>
      <c r="D90" s="16"/>
      <c r="E90" s="17"/>
      <c r="F90" s="15"/>
      <c r="G90" s="15"/>
      <c r="H90" s="15"/>
      <c r="I90" s="15"/>
      <c r="J90" s="18" t="str">
        <f aca="false">IF(A90="","",IFERROR(INDEX(Propostas!$B:$B,MATCH(A90,Propostas!$A:$A,0)),IFERROR(INDEX('Lula 2022 (2023-2026)'!$D:$D,MATCH(A90,'Lula 2022 (2023-2026)'!$A:$A,0)),"ID inexistente")))</f>
        <v/>
      </c>
      <c r="K90" s="18" t="str">
        <f aca="false">IF(A90="","",IF(AND(ISNA(MATCH(A90,Propostas!$A:$A,0)),ISNA(MATCH(A90,'Lula 2022 (2023-2026)'!$A:$A,0))),"ID inexistente",IF(OR(F90="",NOT(ISNUMBER(E90))),"Sem fonte ou data",IF(NOT(AND(LEFT(G90,8)="https://",OR(ISNUMBER(SEARCH(".gov.br",G90)),ISNUMBER(SEARCH(".leg.br",G90)),ISNUMBER(SEARCH(".jus.br",G90)),ISNUMBER(SEARCH(".mp.br",G90))))),"Sem link oficial",IF(OR(NOT(ISNUMBER(C90)),NOT(ISNUMBER(D90)),D90&lt;0,D90&gt;C90),"Valor inválido","Verificável")))))</f>
        <v/>
      </c>
    </row>
    <row r="91" customFormat="false" ht="15" hidden="false" customHeight="true" outlineLevel="0" collapsed="false">
      <c r="A91" s="15"/>
      <c r="B91" s="15"/>
      <c r="C91" s="16"/>
      <c r="D91" s="16"/>
      <c r="E91" s="17"/>
      <c r="F91" s="15"/>
      <c r="G91" s="15"/>
      <c r="H91" s="15"/>
      <c r="I91" s="15"/>
      <c r="J91" s="18" t="str">
        <f aca="false">IF(A91="","",IFERROR(INDEX(Propostas!$B:$B,MATCH(A91,Propostas!$A:$A,0)),IFERROR(INDEX('Lula 2022 (2023-2026)'!$D:$D,MATCH(A91,'Lula 2022 (2023-2026)'!$A:$A,0)),"ID inexistente")))</f>
        <v/>
      </c>
      <c r="K91" s="18" t="str">
        <f aca="false">IF(A91="","",IF(AND(ISNA(MATCH(A91,Propostas!$A:$A,0)),ISNA(MATCH(A91,'Lula 2022 (2023-2026)'!$A:$A,0))),"ID inexistente",IF(OR(F91="",NOT(ISNUMBER(E91))),"Sem fonte ou data",IF(NOT(AND(LEFT(G91,8)="https://",OR(ISNUMBER(SEARCH(".gov.br",G91)),ISNUMBER(SEARCH(".leg.br",G91)),ISNUMBER(SEARCH(".jus.br",G91)),ISNUMBER(SEARCH(".mp.br",G91))))),"Sem link oficial",IF(OR(NOT(ISNUMBER(C91)),NOT(ISNUMBER(D91)),D91&lt;0,D91&gt;C91),"Valor inválido","Verificável")))))</f>
        <v/>
      </c>
    </row>
    <row r="92" customFormat="false" ht="15" hidden="false" customHeight="true" outlineLevel="0" collapsed="false">
      <c r="A92" s="15"/>
      <c r="B92" s="15"/>
      <c r="C92" s="16"/>
      <c r="D92" s="16"/>
      <c r="E92" s="17"/>
      <c r="F92" s="15"/>
      <c r="G92" s="15"/>
      <c r="H92" s="15"/>
      <c r="I92" s="15"/>
      <c r="J92" s="18" t="str">
        <f aca="false">IF(A92="","",IFERROR(INDEX(Propostas!$B:$B,MATCH(A92,Propostas!$A:$A,0)),IFERROR(INDEX('Lula 2022 (2023-2026)'!$D:$D,MATCH(A92,'Lula 2022 (2023-2026)'!$A:$A,0)),"ID inexistente")))</f>
        <v/>
      </c>
      <c r="K92" s="18" t="str">
        <f aca="false">IF(A92="","",IF(AND(ISNA(MATCH(A92,Propostas!$A:$A,0)),ISNA(MATCH(A92,'Lula 2022 (2023-2026)'!$A:$A,0))),"ID inexistente",IF(OR(F92="",NOT(ISNUMBER(E92))),"Sem fonte ou data",IF(NOT(AND(LEFT(G92,8)="https://",OR(ISNUMBER(SEARCH(".gov.br",G92)),ISNUMBER(SEARCH(".leg.br",G92)),ISNUMBER(SEARCH(".jus.br",G92)),ISNUMBER(SEARCH(".mp.br",G92))))),"Sem link oficial",IF(OR(NOT(ISNUMBER(C92)),NOT(ISNUMBER(D92)),D92&lt;0,D92&gt;C92),"Valor inválido","Verificável")))))</f>
        <v/>
      </c>
    </row>
    <row r="93" customFormat="false" ht="15" hidden="false" customHeight="true" outlineLevel="0" collapsed="false">
      <c r="A93" s="15"/>
      <c r="B93" s="15"/>
      <c r="C93" s="16"/>
      <c r="D93" s="16"/>
      <c r="E93" s="17"/>
      <c r="F93" s="15"/>
      <c r="G93" s="15"/>
      <c r="H93" s="15"/>
      <c r="I93" s="15"/>
      <c r="J93" s="18" t="str">
        <f aca="false">IF(A93="","",IFERROR(INDEX(Propostas!$B:$B,MATCH(A93,Propostas!$A:$A,0)),IFERROR(INDEX('Lula 2022 (2023-2026)'!$D:$D,MATCH(A93,'Lula 2022 (2023-2026)'!$A:$A,0)),"ID inexistente")))</f>
        <v/>
      </c>
      <c r="K93" s="18" t="str">
        <f aca="false">IF(A93="","",IF(AND(ISNA(MATCH(A93,Propostas!$A:$A,0)),ISNA(MATCH(A93,'Lula 2022 (2023-2026)'!$A:$A,0))),"ID inexistente",IF(OR(F93="",NOT(ISNUMBER(E93))),"Sem fonte ou data",IF(NOT(AND(LEFT(G93,8)="https://",OR(ISNUMBER(SEARCH(".gov.br",G93)),ISNUMBER(SEARCH(".leg.br",G93)),ISNUMBER(SEARCH(".jus.br",G93)),ISNUMBER(SEARCH(".mp.br",G93))))),"Sem link oficial",IF(OR(NOT(ISNUMBER(C93)),NOT(ISNUMBER(D93)),D93&lt;0,D93&gt;C93),"Valor inválido","Verificável")))))</f>
        <v/>
      </c>
    </row>
    <row r="94" customFormat="false" ht="15" hidden="false" customHeight="true" outlineLevel="0" collapsed="false">
      <c r="A94" s="15"/>
      <c r="B94" s="15"/>
      <c r="C94" s="16"/>
      <c r="D94" s="16"/>
      <c r="E94" s="17"/>
      <c r="F94" s="15"/>
      <c r="G94" s="15"/>
      <c r="H94" s="15"/>
      <c r="I94" s="15"/>
      <c r="J94" s="18" t="str">
        <f aca="false">IF(A94="","",IFERROR(INDEX(Propostas!$B:$B,MATCH(A94,Propostas!$A:$A,0)),IFERROR(INDEX('Lula 2022 (2023-2026)'!$D:$D,MATCH(A94,'Lula 2022 (2023-2026)'!$A:$A,0)),"ID inexistente")))</f>
        <v/>
      </c>
      <c r="K94" s="18" t="str">
        <f aca="false">IF(A94="","",IF(AND(ISNA(MATCH(A94,Propostas!$A:$A,0)),ISNA(MATCH(A94,'Lula 2022 (2023-2026)'!$A:$A,0))),"ID inexistente",IF(OR(F94="",NOT(ISNUMBER(E94))),"Sem fonte ou data",IF(NOT(AND(LEFT(G94,8)="https://",OR(ISNUMBER(SEARCH(".gov.br",G94)),ISNUMBER(SEARCH(".leg.br",G94)),ISNUMBER(SEARCH(".jus.br",G94)),ISNUMBER(SEARCH(".mp.br",G94))))),"Sem link oficial",IF(OR(NOT(ISNUMBER(C94)),NOT(ISNUMBER(D94)),D94&lt;0,D94&gt;C94),"Valor inválido","Verificável")))))</f>
        <v/>
      </c>
    </row>
    <row r="95" customFormat="false" ht="15" hidden="false" customHeight="true" outlineLevel="0" collapsed="false">
      <c r="A95" s="15"/>
      <c r="B95" s="15"/>
      <c r="C95" s="16"/>
      <c r="D95" s="16"/>
      <c r="E95" s="17"/>
      <c r="F95" s="15"/>
      <c r="G95" s="15"/>
      <c r="H95" s="15"/>
      <c r="I95" s="15"/>
      <c r="J95" s="18" t="str">
        <f aca="false">IF(A95="","",IFERROR(INDEX(Propostas!$B:$B,MATCH(A95,Propostas!$A:$A,0)),IFERROR(INDEX('Lula 2022 (2023-2026)'!$D:$D,MATCH(A95,'Lula 2022 (2023-2026)'!$A:$A,0)),"ID inexistente")))</f>
        <v/>
      </c>
      <c r="K95" s="18" t="str">
        <f aca="false">IF(A95="","",IF(AND(ISNA(MATCH(A95,Propostas!$A:$A,0)),ISNA(MATCH(A95,'Lula 2022 (2023-2026)'!$A:$A,0))),"ID inexistente",IF(OR(F95="",NOT(ISNUMBER(E95))),"Sem fonte ou data",IF(NOT(AND(LEFT(G95,8)="https://",OR(ISNUMBER(SEARCH(".gov.br",G95)),ISNUMBER(SEARCH(".leg.br",G95)),ISNUMBER(SEARCH(".jus.br",G95)),ISNUMBER(SEARCH(".mp.br",G95))))),"Sem link oficial",IF(OR(NOT(ISNUMBER(C95)),NOT(ISNUMBER(D95)),D95&lt;0,D95&gt;C95),"Valor inválido","Verificável")))))</f>
        <v/>
      </c>
    </row>
    <row r="96" customFormat="false" ht="15" hidden="false" customHeight="true" outlineLevel="0" collapsed="false">
      <c r="A96" s="15"/>
      <c r="B96" s="15"/>
      <c r="C96" s="16"/>
      <c r="D96" s="16"/>
      <c r="E96" s="17"/>
      <c r="F96" s="15"/>
      <c r="G96" s="15"/>
      <c r="H96" s="15"/>
      <c r="I96" s="15"/>
      <c r="J96" s="18" t="str">
        <f aca="false">IF(A96="","",IFERROR(INDEX(Propostas!$B:$B,MATCH(A96,Propostas!$A:$A,0)),IFERROR(INDEX('Lula 2022 (2023-2026)'!$D:$D,MATCH(A96,'Lula 2022 (2023-2026)'!$A:$A,0)),"ID inexistente")))</f>
        <v/>
      </c>
      <c r="K96" s="18" t="str">
        <f aca="false">IF(A96="","",IF(AND(ISNA(MATCH(A96,Propostas!$A:$A,0)),ISNA(MATCH(A96,'Lula 2022 (2023-2026)'!$A:$A,0))),"ID inexistente",IF(OR(F96="",NOT(ISNUMBER(E96))),"Sem fonte ou data",IF(NOT(AND(LEFT(G96,8)="https://",OR(ISNUMBER(SEARCH(".gov.br",G96)),ISNUMBER(SEARCH(".leg.br",G96)),ISNUMBER(SEARCH(".jus.br",G96)),ISNUMBER(SEARCH(".mp.br",G96))))),"Sem link oficial",IF(OR(NOT(ISNUMBER(C96)),NOT(ISNUMBER(D96)),D96&lt;0,D96&gt;C96),"Valor inválido","Verificável")))))</f>
        <v/>
      </c>
    </row>
    <row r="97" customFormat="false" ht="15" hidden="false" customHeight="true" outlineLevel="0" collapsed="false">
      <c r="A97" s="15"/>
      <c r="B97" s="15"/>
      <c r="C97" s="16"/>
      <c r="D97" s="16"/>
      <c r="E97" s="17"/>
      <c r="F97" s="15"/>
      <c r="G97" s="15"/>
      <c r="H97" s="15"/>
      <c r="I97" s="15"/>
      <c r="J97" s="18" t="str">
        <f aca="false">IF(A97="","",IFERROR(INDEX(Propostas!$B:$B,MATCH(A97,Propostas!$A:$A,0)),IFERROR(INDEX('Lula 2022 (2023-2026)'!$D:$D,MATCH(A97,'Lula 2022 (2023-2026)'!$A:$A,0)),"ID inexistente")))</f>
        <v/>
      </c>
      <c r="K97" s="18" t="str">
        <f aca="false">IF(A97="","",IF(AND(ISNA(MATCH(A97,Propostas!$A:$A,0)),ISNA(MATCH(A97,'Lula 2022 (2023-2026)'!$A:$A,0))),"ID inexistente",IF(OR(F97="",NOT(ISNUMBER(E97))),"Sem fonte ou data",IF(NOT(AND(LEFT(G97,8)="https://",OR(ISNUMBER(SEARCH(".gov.br",G97)),ISNUMBER(SEARCH(".leg.br",G97)),ISNUMBER(SEARCH(".jus.br",G97)),ISNUMBER(SEARCH(".mp.br",G97))))),"Sem link oficial",IF(OR(NOT(ISNUMBER(C97)),NOT(ISNUMBER(D97)),D97&lt;0,D97&gt;C97),"Valor inválido","Verificável")))))</f>
        <v/>
      </c>
    </row>
    <row r="98" customFormat="false" ht="15" hidden="false" customHeight="true" outlineLevel="0" collapsed="false">
      <c r="A98" s="15"/>
      <c r="B98" s="15"/>
      <c r="C98" s="16"/>
      <c r="D98" s="16"/>
      <c r="E98" s="17"/>
      <c r="F98" s="15"/>
      <c r="G98" s="15"/>
      <c r="H98" s="15"/>
      <c r="I98" s="15"/>
      <c r="J98" s="18" t="str">
        <f aca="false">IF(A98="","",IFERROR(INDEX(Propostas!$B:$B,MATCH(A98,Propostas!$A:$A,0)),IFERROR(INDEX('Lula 2022 (2023-2026)'!$D:$D,MATCH(A98,'Lula 2022 (2023-2026)'!$A:$A,0)),"ID inexistente")))</f>
        <v/>
      </c>
      <c r="K98" s="18" t="str">
        <f aca="false">IF(A98="","",IF(AND(ISNA(MATCH(A98,Propostas!$A:$A,0)),ISNA(MATCH(A98,'Lula 2022 (2023-2026)'!$A:$A,0))),"ID inexistente",IF(OR(F98="",NOT(ISNUMBER(E98))),"Sem fonte ou data",IF(NOT(AND(LEFT(G98,8)="https://",OR(ISNUMBER(SEARCH(".gov.br",G98)),ISNUMBER(SEARCH(".leg.br",G98)),ISNUMBER(SEARCH(".jus.br",G98)),ISNUMBER(SEARCH(".mp.br",G98))))),"Sem link oficial",IF(OR(NOT(ISNUMBER(C98)),NOT(ISNUMBER(D98)),D98&lt;0,D98&gt;C98),"Valor inválido","Verificável")))))</f>
        <v/>
      </c>
    </row>
    <row r="99" customFormat="false" ht="15" hidden="false" customHeight="true" outlineLevel="0" collapsed="false">
      <c r="A99" s="15"/>
      <c r="B99" s="15"/>
      <c r="C99" s="16"/>
      <c r="D99" s="16"/>
      <c r="E99" s="17"/>
      <c r="F99" s="15"/>
      <c r="G99" s="15"/>
      <c r="H99" s="15"/>
      <c r="I99" s="15"/>
      <c r="J99" s="18" t="str">
        <f aca="false">IF(A99="","",IFERROR(INDEX(Propostas!$B:$B,MATCH(A99,Propostas!$A:$A,0)),IFERROR(INDEX('Lula 2022 (2023-2026)'!$D:$D,MATCH(A99,'Lula 2022 (2023-2026)'!$A:$A,0)),"ID inexistente")))</f>
        <v/>
      </c>
      <c r="K99" s="18" t="str">
        <f aca="false">IF(A99="","",IF(AND(ISNA(MATCH(A99,Propostas!$A:$A,0)),ISNA(MATCH(A99,'Lula 2022 (2023-2026)'!$A:$A,0))),"ID inexistente",IF(OR(F99="",NOT(ISNUMBER(E99))),"Sem fonte ou data",IF(NOT(AND(LEFT(G99,8)="https://",OR(ISNUMBER(SEARCH(".gov.br",G99)),ISNUMBER(SEARCH(".leg.br",G99)),ISNUMBER(SEARCH(".jus.br",G99)),ISNUMBER(SEARCH(".mp.br",G99))))),"Sem link oficial",IF(OR(NOT(ISNUMBER(C99)),NOT(ISNUMBER(D99)),D99&lt;0,D99&gt;C99),"Valor inválido","Verificável")))))</f>
        <v/>
      </c>
    </row>
    <row r="100" customFormat="false" ht="15" hidden="false" customHeight="true" outlineLevel="0" collapsed="false">
      <c r="A100" s="15"/>
      <c r="B100" s="15"/>
      <c r="C100" s="16"/>
      <c r="D100" s="16"/>
      <c r="E100" s="17"/>
      <c r="F100" s="15"/>
      <c r="G100" s="15"/>
      <c r="H100" s="15"/>
      <c r="I100" s="15"/>
      <c r="J100" s="18" t="str">
        <f aca="false">IF(A100="","",IFERROR(INDEX(Propostas!$B:$B,MATCH(A100,Propostas!$A:$A,0)),IFERROR(INDEX('Lula 2022 (2023-2026)'!$D:$D,MATCH(A100,'Lula 2022 (2023-2026)'!$A:$A,0)),"ID inexistente")))</f>
        <v/>
      </c>
      <c r="K100" s="18" t="str">
        <f aca="false">IF(A100="","",IF(AND(ISNA(MATCH(A100,Propostas!$A:$A,0)),ISNA(MATCH(A100,'Lula 2022 (2023-2026)'!$A:$A,0))),"ID inexistente",IF(OR(F100="",NOT(ISNUMBER(E100))),"Sem fonte ou data",IF(NOT(AND(LEFT(G100,8)="https://",OR(ISNUMBER(SEARCH(".gov.br",G100)),ISNUMBER(SEARCH(".leg.br",G100)),ISNUMBER(SEARCH(".jus.br",G100)),ISNUMBER(SEARCH(".mp.br",G100))))),"Sem link oficial",IF(OR(NOT(ISNUMBER(C100)),NOT(ISNUMBER(D100)),D100&lt;0,D100&gt;C100),"Valor inválido","Verificável")))))</f>
        <v/>
      </c>
    </row>
    <row r="101" customFormat="false" ht="15" hidden="false" customHeight="true" outlineLevel="0" collapsed="false">
      <c r="A101" s="15"/>
      <c r="B101" s="15"/>
      <c r="C101" s="16"/>
      <c r="D101" s="16"/>
      <c r="E101" s="17"/>
      <c r="F101" s="15"/>
      <c r="G101" s="15"/>
      <c r="H101" s="15"/>
      <c r="I101" s="15"/>
      <c r="J101" s="18" t="str">
        <f aca="false">IF(A101="","",IFERROR(INDEX(Propostas!$B:$B,MATCH(A101,Propostas!$A:$A,0)),IFERROR(INDEX('Lula 2022 (2023-2026)'!$D:$D,MATCH(A101,'Lula 2022 (2023-2026)'!$A:$A,0)),"ID inexistente")))</f>
        <v/>
      </c>
      <c r="K101" s="18" t="str">
        <f aca="false">IF(A101="","",IF(AND(ISNA(MATCH(A101,Propostas!$A:$A,0)),ISNA(MATCH(A101,'Lula 2022 (2023-2026)'!$A:$A,0))),"ID inexistente",IF(OR(F101="",NOT(ISNUMBER(E101))),"Sem fonte ou data",IF(NOT(AND(LEFT(G101,8)="https://",OR(ISNUMBER(SEARCH(".gov.br",G101)),ISNUMBER(SEARCH(".leg.br",G101)),ISNUMBER(SEARCH(".jus.br",G101)),ISNUMBER(SEARCH(".mp.br",G101))))),"Sem link oficial",IF(OR(NOT(ISNUMBER(C101)),NOT(ISNUMBER(D101)),D101&lt;0,D101&gt;C101),"Valor inválido","Verificável")))))</f>
        <v/>
      </c>
    </row>
    <row r="102" customFormat="false" ht="15" hidden="false" customHeight="true" outlineLevel="0" collapsed="false">
      <c r="A102" s="15"/>
      <c r="B102" s="15"/>
      <c r="C102" s="16"/>
      <c r="D102" s="16"/>
      <c r="E102" s="17"/>
      <c r="F102" s="15"/>
      <c r="G102" s="15"/>
      <c r="H102" s="15"/>
      <c r="I102" s="15"/>
      <c r="J102" s="18" t="str">
        <f aca="false">IF(A102="","",IFERROR(INDEX(Propostas!$B:$B,MATCH(A102,Propostas!$A:$A,0)),IFERROR(INDEX('Lula 2022 (2023-2026)'!$D:$D,MATCH(A102,'Lula 2022 (2023-2026)'!$A:$A,0)),"ID inexistente")))</f>
        <v/>
      </c>
      <c r="K102" s="18" t="str">
        <f aca="false">IF(A102="","",IF(AND(ISNA(MATCH(A102,Propostas!$A:$A,0)),ISNA(MATCH(A102,'Lula 2022 (2023-2026)'!$A:$A,0))),"ID inexistente",IF(OR(F102="",NOT(ISNUMBER(E102))),"Sem fonte ou data",IF(NOT(AND(LEFT(G102,8)="https://",OR(ISNUMBER(SEARCH(".gov.br",G102)),ISNUMBER(SEARCH(".leg.br",G102)),ISNUMBER(SEARCH(".jus.br",G102)),ISNUMBER(SEARCH(".mp.br",G102))))),"Sem link oficial",IF(OR(NOT(ISNUMBER(C102)),NOT(ISNUMBER(D102)),D102&lt;0,D102&gt;C102),"Valor inválido","Verificável")))))</f>
        <v/>
      </c>
    </row>
    <row r="103" customFormat="false" ht="15" hidden="false" customHeight="true" outlineLevel="0" collapsed="false">
      <c r="A103" s="15"/>
      <c r="B103" s="15"/>
      <c r="C103" s="16"/>
      <c r="D103" s="16"/>
      <c r="E103" s="17"/>
      <c r="F103" s="15"/>
      <c r="G103" s="15"/>
      <c r="H103" s="15"/>
      <c r="I103" s="15"/>
      <c r="J103" s="18" t="str">
        <f aca="false">IF(A103="","",IFERROR(INDEX(Propostas!$B:$B,MATCH(A103,Propostas!$A:$A,0)),IFERROR(INDEX('Lula 2022 (2023-2026)'!$D:$D,MATCH(A103,'Lula 2022 (2023-2026)'!$A:$A,0)),"ID inexistente")))</f>
        <v/>
      </c>
      <c r="K103" s="18" t="str">
        <f aca="false">IF(A103="","",IF(AND(ISNA(MATCH(A103,Propostas!$A:$A,0)),ISNA(MATCH(A103,'Lula 2022 (2023-2026)'!$A:$A,0))),"ID inexistente",IF(OR(F103="",NOT(ISNUMBER(E103))),"Sem fonte ou data",IF(NOT(AND(LEFT(G103,8)="https://",OR(ISNUMBER(SEARCH(".gov.br",G103)),ISNUMBER(SEARCH(".leg.br",G103)),ISNUMBER(SEARCH(".jus.br",G103)),ISNUMBER(SEARCH(".mp.br",G103))))),"Sem link oficial",IF(OR(NOT(ISNUMBER(C103)),NOT(ISNUMBER(D103)),D103&lt;0,D103&gt;C103),"Valor inválido","Verificável")))))</f>
        <v/>
      </c>
    </row>
    <row r="104" customFormat="false" ht="15" hidden="false" customHeight="true" outlineLevel="0" collapsed="false">
      <c r="A104" s="15"/>
      <c r="B104" s="15"/>
      <c r="C104" s="16"/>
      <c r="D104" s="16"/>
      <c r="E104" s="17"/>
      <c r="F104" s="15"/>
      <c r="G104" s="15"/>
      <c r="H104" s="15"/>
      <c r="I104" s="15"/>
      <c r="J104" s="18" t="str">
        <f aca="false">IF(A104="","",IFERROR(INDEX(Propostas!$B:$B,MATCH(A104,Propostas!$A:$A,0)),IFERROR(INDEX('Lula 2022 (2023-2026)'!$D:$D,MATCH(A104,'Lula 2022 (2023-2026)'!$A:$A,0)),"ID inexistente")))</f>
        <v/>
      </c>
      <c r="K104" s="18" t="str">
        <f aca="false">IF(A104="","",IF(AND(ISNA(MATCH(A104,Propostas!$A:$A,0)),ISNA(MATCH(A104,'Lula 2022 (2023-2026)'!$A:$A,0))),"ID inexistente",IF(OR(F104="",NOT(ISNUMBER(E104))),"Sem fonte ou data",IF(NOT(AND(LEFT(G104,8)="https://",OR(ISNUMBER(SEARCH(".gov.br",G104)),ISNUMBER(SEARCH(".leg.br",G104)),ISNUMBER(SEARCH(".jus.br",G104)),ISNUMBER(SEARCH(".mp.br",G104))))),"Sem link oficial",IF(OR(NOT(ISNUMBER(C104)),NOT(ISNUMBER(D104)),D104&lt;0,D104&gt;C104),"Valor inválido","Verificável")))))</f>
        <v/>
      </c>
    </row>
    <row r="105" customFormat="false" ht="15" hidden="false" customHeight="true" outlineLevel="0" collapsed="false">
      <c r="A105" s="15"/>
      <c r="B105" s="15"/>
      <c r="C105" s="16"/>
      <c r="D105" s="16"/>
      <c r="E105" s="17"/>
      <c r="F105" s="15"/>
      <c r="G105" s="15"/>
      <c r="H105" s="15"/>
      <c r="I105" s="15"/>
      <c r="J105" s="18" t="str">
        <f aca="false">IF(A105="","",IFERROR(INDEX(Propostas!$B:$B,MATCH(A105,Propostas!$A:$A,0)),IFERROR(INDEX('Lula 2022 (2023-2026)'!$D:$D,MATCH(A105,'Lula 2022 (2023-2026)'!$A:$A,0)),"ID inexistente")))</f>
        <v/>
      </c>
      <c r="K105" s="18" t="str">
        <f aca="false">IF(A105="","",IF(AND(ISNA(MATCH(A105,Propostas!$A:$A,0)),ISNA(MATCH(A105,'Lula 2022 (2023-2026)'!$A:$A,0))),"ID inexistente",IF(OR(F105="",NOT(ISNUMBER(E105))),"Sem fonte ou data",IF(NOT(AND(LEFT(G105,8)="https://",OR(ISNUMBER(SEARCH(".gov.br",G105)),ISNUMBER(SEARCH(".leg.br",G105)),ISNUMBER(SEARCH(".jus.br",G105)),ISNUMBER(SEARCH(".mp.br",G105))))),"Sem link oficial",IF(OR(NOT(ISNUMBER(C105)),NOT(ISNUMBER(D105)),D105&lt;0,D105&gt;C105),"Valor inválido","Verificável")))))</f>
        <v/>
      </c>
    </row>
    <row r="106" customFormat="false" ht="15" hidden="false" customHeight="true" outlineLevel="0" collapsed="false">
      <c r="A106" s="15"/>
      <c r="B106" s="15"/>
      <c r="C106" s="16"/>
      <c r="D106" s="16"/>
      <c r="E106" s="17"/>
      <c r="F106" s="15"/>
      <c r="G106" s="15"/>
      <c r="H106" s="15"/>
      <c r="I106" s="15"/>
      <c r="J106" s="18" t="str">
        <f aca="false">IF(A106="","",IFERROR(INDEX(Propostas!$B:$B,MATCH(A106,Propostas!$A:$A,0)),IFERROR(INDEX('Lula 2022 (2023-2026)'!$D:$D,MATCH(A106,'Lula 2022 (2023-2026)'!$A:$A,0)),"ID inexistente")))</f>
        <v/>
      </c>
      <c r="K106" s="18" t="str">
        <f aca="false">IF(A106="","",IF(AND(ISNA(MATCH(A106,Propostas!$A:$A,0)),ISNA(MATCH(A106,'Lula 2022 (2023-2026)'!$A:$A,0))),"ID inexistente",IF(OR(F106="",NOT(ISNUMBER(E106))),"Sem fonte ou data",IF(NOT(AND(LEFT(G106,8)="https://",OR(ISNUMBER(SEARCH(".gov.br",G106)),ISNUMBER(SEARCH(".leg.br",G106)),ISNUMBER(SEARCH(".jus.br",G106)),ISNUMBER(SEARCH(".mp.br",G106))))),"Sem link oficial",IF(OR(NOT(ISNUMBER(C106)),NOT(ISNUMBER(D106)),D106&lt;0,D106&gt;C106),"Valor inválido","Verificável")))))</f>
        <v/>
      </c>
    </row>
    <row r="107" customFormat="false" ht="15" hidden="false" customHeight="true" outlineLevel="0" collapsed="false">
      <c r="A107" s="15"/>
      <c r="B107" s="15"/>
      <c r="C107" s="16"/>
      <c r="D107" s="16"/>
      <c r="E107" s="17"/>
      <c r="F107" s="15"/>
      <c r="G107" s="15"/>
      <c r="H107" s="15"/>
      <c r="I107" s="15"/>
      <c r="J107" s="18" t="str">
        <f aca="false">IF(A107="","",IFERROR(INDEX(Propostas!$B:$B,MATCH(A107,Propostas!$A:$A,0)),IFERROR(INDEX('Lula 2022 (2023-2026)'!$D:$D,MATCH(A107,'Lula 2022 (2023-2026)'!$A:$A,0)),"ID inexistente")))</f>
        <v/>
      </c>
      <c r="K107" s="18" t="str">
        <f aca="false">IF(A107="","",IF(AND(ISNA(MATCH(A107,Propostas!$A:$A,0)),ISNA(MATCH(A107,'Lula 2022 (2023-2026)'!$A:$A,0))),"ID inexistente",IF(OR(F107="",NOT(ISNUMBER(E107))),"Sem fonte ou data",IF(NOT(AND(LEFT(G107,8)="https://",OR(ISNUMBER(SEARCH(".gov.br",G107)),ISNUMBER(SEARCH(".leg.br",G107)),ISNUMBER(SEARCH(".jus.br",G107)),ISNUMBER(SEARCH(".mp.br",G107))))),"Sem link oficial",IF(OR(NOT(ISNUMBER(C107)),NOT(ISNUMBER(D107)),D107&lt;0,D107&gt;C107),"Valor inválido","Verificável")))))</f>
        <v/>
      </c>
    </row>
    <row r="108" customFormat="false" ht="15" hidden="false" customHeight="true" outlineLevel="0" collapsed="false">
      <c r="A108" s="15"/>
      <c r="B108" s="15"/>
      <c r="C108" s="16"/>
      <c r="D108" s="16"/>
      <c r="E108" s="17"/>
      <c r="F108" s="15"/>
      <c r="G108" s="15"/>
      <c r="H108" s="15"/>
      <c r="I108" s="15"/>
      <c r="J108" s="18" t="str">
        <f aca="false">IF(A108="","",IFERROR(INDEX(Propostas!$B:$B,MATCH(A108,Propostas!$A:$A,0)),IFERROR(INDEX('Lula 2022 (2023-2026)'!$D:$D,MATCH(A108,'Lula 2022 (2023-2026)'!$A:$A,0)),"ID inexistente")))</f>
        <v/>
      </c>
      <c r="K108" s="18" t="str">
        <f aca="false">IF(A108="","",IF(AND(ISNA(MATCH(A108,Propostas!$A:$A,0)),ISNA(MATCH(A108,'Lula 2022 (2023-2026)'!$A:$A,0))),"ID inexistente",IF(OR(F108="",NOT(ISNUMBER(E108))),"Sem fonte ou data",IF(NOT(AND(LEFT(G108,8)="https://",OR(ISNUMBER(SEARCH(".gov.br",G108)),ISNUMBER(SEARCH(".leg.br",G108)),ISNUMBER(SEARCH(".jus.br",G108)),ISNUMBER(SEARCH(".mp.br",G108))))),"Sem link oficial",IF(OR(NOT(ISNUMBER(C108)),NOT(ISNUMBER(D108)),D108&lt;0,D108&gt;C108),"Valor inválido","Verificável")))))</f>
        <v/>
      </c>
    </row>
    <row r="109" customFormat="false" ht="15" hidden="false" customHeight="true" outlineLevel="0" collapsed="false">
      <c r="A109" s="15"/>
      <c r="B109" s="15"/>
      <c r="C109" s="16"/>
      <c r="D109" s="16"/>
      <c r="E109" s="17"/>
      <c r="F109" s="15"/>
      <c r="G109" s="15"/>
      <c r="H109" s="15"/>
      <c r="I109" s="15"/>
      <c r="J109" s="18" t="str">
        <f aca="false">IF(A109="","",IFERROR(INDEX(Propostas!$B:$B,MATCH(A109,Propostas!$A:$A,0)),IFERROR(INDEX('Lula 2022 (2023-2026)'!$D:$D,MATCH(A109,'Lula 2022 (2023-2026)'!$A:$A,0)),"ID inexistente")))</f>
        <v/>
      </c>
      <c r="K109" s="18" t="str">
        <f aca="false">IF(A109="","",IF(AND(ISNA(MATCH(A109,Propostas!$A:$A,0)),ISNA(MATCH(A109,'Lula 2022 (2023-2026)'!$A:$A,0))),"ID inexistente",IF(OR(F109="",NOT(ISNUMBER(E109))),"Sem fonte ou data",IF(NOT(AND(LEFT(G109,8)="https://",OR(ISNUMBER(SEARCH(".gov.br",G109)),ISNUMBER(SEARCH(".leg.br",G109)),ISNUMBER(SEARCH(".jus.br",G109)),ISNUMBER(SEARCH(".mp.br",G109))))),"Sem link oficial",IF(OR(NOT(ISNUMBER(C109)),NOT(ISNUMBER(D109)),D109&lt;0,D109&gt;C109),"Valor inválido","Verificável")))))</f>
        <v/>
      </c>
    </row>
    <row r="110" customFormat="false" ht="15" hidden="false" customHeight="true" outlineLevel="0" collapsed="false">
      <c r="A110" s="15"/>
      <c r="B110" s="15"/>
      <c r="C110" s="16"/>
      <c r="D110" s="16"/>
      <c r="E110" s="17"/>
      <c r="F110" s="15"/>
      <c r="G110" s="15"/>
      <c r="H110" s="15"/>
      <c r="I110" s="15"/>
      <c r="J110" s="18" t="str">
        <f aca="false">IF(A110="","",IFERROR(INDEX(Propostas!$B:$B,MATCH(A110,Propostas!$A:$A,0)),IFERROR(INDEX('Lula 2022 (2023-2026)'!$D:$D,MATCH(A110,'Lula 2022 (2023-2026)'!$A:$A,0)),"ID inexistente")))</f>
        <v/>
      </c>
      <c r="K110" s="18" t="str">
        <f aca="false">IF(A110="","",IF(AND(ISNA(MATCH(A110,Propostas!$A:$A,0)),ISNA(MATCH(A110,'Lula 2022 (2023-2026)'!$A:$A,0))),"ID inexistente",IF(OR(F110="",NOT(ISNUMBER(E110))),"Sem fonte ou data",IF(NOT(AND(LEFT(G110,8)="https://",OR(ISNUMBER(SEARCH(".gov.br",G110)),ISNUMBER(SEARCH(".leg.br",G110)),ISNUMBER(SEARCH(".jus.br",G110)),ISNUMBER(SEARCH(".mp.br",G110))))),"Sem link oficial",IF(OR(NOT(ISNUMBER(C110)),NOT(ISNUMBER(D110)),D110&lt;0,D110&gt;C110),"Valor inválido","Verificável")))))</f>
        <v/>
      </c>
    </row>
    <row r="111" customFormat="false" ht="15" hidden="false" customHeight="true" outlineLevel="0" collapsed="false">
      <c r="A111" s="15"/>
      <c r="B111" s="15"/>
      <c r="C111" s="16"/>
      <c r="D111" s="16"/>
      <c r="E111" s="17"/>
      <c r="F111" s="15"/>
      <c r="G111" s="15"/>
      <c r="H111" s="15"/>
      <c r="I111" s="15"/>
      <c r="J111" s="18" t="str">
        <f aca="false">IF(A111="","",IFERROR(INDEX(Propostas!$B:$B,MATCH(A111,Propostas!$A:$A,0)),IFERROR(INDEX('Lula 2022 (2023-2026)'!$D:$D,MATCH(A111,'Lula 2022 (2023-2026)'!$A:$A,0)),"ID inexistente")))</f>
        <v/>
      </c>
      <c r="K111" s="18" t="str">
        <f aca="false">IF(A111="","",IF(AND(ISNA(MATCH(A111,Propostas!$A:$A,0)),ISNA(MATCH(A111,'Lula 2022 (2023-2026)'!$A:$A,0))),"ID inexistente",IF(OR(F111="",NOT(ISNUMBER(E111))),"Sem fonte ou data",IF(NOT(AND(LEFT(G111,8)="https://",OR(ISNUMBER(SEARCH(".gov.br",G111)),ISNUMBER(SEARCH(".leg.br",G111)),ISNUMBER(SEARCH(".jus.br",G111)),ISNUMBER(SEARCH(".mp.br",G111))))),"Sem link oficial",IF(OR(NOT(ISNUMBER(C111)),NOT(ISNUMBER(D111)),D111&lt;0,D111&gt;C111),"Valor inválido","Verificável")))))</f>
        <v/>
      </c>
    </row>
    <row r="112" customFormat="false" ht="15" hidden="false" customHeight="true" outlineLevel="0" collapsed="false">
      <c r="A112" s="15"/>
      <c r="B112" s="15"/>
      <c r="C112" s="16"/>
      <c r="D112" s="16"/>
      <c r="E112" s="17"/>
      <c r="F112" s="15"/>
      <c r="G112" s="15"/>
      <c r="H112" s="15"/>
      <c r="I112" s="15"/>
      <c r="J112" s="18" t="str">
        <f aca="false">IF(A112="","",IFERROR(INDEX(Propostas!$B:$B,MATCH(A112,Propostas!$A:$A,0)),IFERROR(INDEX('Lula 2022 (2023-2026)'!$D:$D,MATCH(A112,'Lula 2022 (2023-2026)'!$A:$A,0)),"ID inexistente")))</f>
        <v/>
      </c>
      <c r="K112" s="18" t="str">
        <f aca="false">IF(A112="","",IF(AND(ISNA(MATCH(A112,Propostas!$A:$A,0)),ISNA(MATCH(A112,'Lula 2022 (2023-2026)'!$A:$A,0))),"ID inexistente",IF(OR(F112="",NOT(ISNUMBER(E112))),"Sem fonte ou data",IF(NOT(AND(LEFT(G112,8)="https://",OR(ISNUMBER(SEARCH(".gov.br",G112)),ISNUMBER(SEARCH(".leg.br",G112)),ISNUMBER(SEARCH(".jus.br",G112)),ISNUMBER(SEARCH(".mp.br",G112))))),"Sem link oficial",IF(OR(NOT(ISNUMBER(C112)),NOT(ISNUMBER(D112)),D112&lt;0,D112&gt;C112),"Valor inválido","Verificável")))))</f>
        <v/>
      </c>
    </row>
    <row r="113" customFormat="false" ht="15" hidden="false" customHeight="true" outlineLevel="0" collapsed="false">
      <c r="A113" s="15"/>
      <c r="B113" s="15"/>
      <c r="C113" s="16"/>
      <c r="D113" s="16"/>
      <c r="E113" s="17"/>
      <c r="F113" s="15"/>
      <c r="G113" s="15"/>
      <c r="H113" s="15"/>
      <c r="I113" s="15"/>
      <c r="J113" s="18" t="str">
        <f aca="false">IF(A113="","",IFERROR(INDEX(Propostas!$B:$B,MATCH(A113,Propostas!$A:$A,0)),IFERROR(INDEX('Lula 2022 (2023-2026)'!$D:$D,MATCH(A113,'Lula 2022 (2023-2026)'!$A:$A,0)),"ID inexistente")))</f>
        <v/>
      </c>
      <c r="K113" s="18" t="str">
        <f aca="false">IF(A113="","",IF(AND(ISNA(MATCH(A113,Propostas!$A:$A,0)),ISNA(MATCH(A113,'Lula 2022 (2023-2026)'!$A:$A,0))),"ID inexistente",IF(OR(F113="",NOT(ISNUMBER(E113))),"Sem fonte ou data",IF(NOT(AND(LEFT(G113,8)="https://",OR(ISNUMBER(SEARCH(".gov.br",G113)),ISNUMBER(SEARCH(".leg.br",G113)),ISNUMBER(SEARCH(".jus.br",G113)),ISNUMBER(SEARCH(".mp.br",G113))))),"Sem link oficial",IF(OR(NOT(ISNUMBER(C113)),NOT(ISNUMBER(D113)),D113&lt;0,D113&gt;C113),"Valor inválido","Verificável")))))</f>
        <v/>
      </c>
    </row>
    <row r="114" customFormat="false" ht="15" hidden="false" customHeight="true" outlineLevel="0" collapsed="false">
      <c r="A114" s="15"/>
      <c r="B114" s="15"/>
      <c r="C114" s="16"/>
      <c r="D114" s="16"/>
      <c r="E114" s="17"/>
      <c r="F114" s="15"/>
      <c r="G114" s="15"/>
      <c r="H114" s="15"/>
      <c r="I114" s="15"/>
      <c r="J114" s="18" t="str">
        <f aca="false">IF(A114="","",IFERROR(INDEX(Propostas!$B:$B,MATCH(A114,Propostas!$A:$A,0)),IFERROR(INDEX('Lula 2022 (2023-2026)'!$D:$D,MATCH(A114,'Lula 2022 (2023-2026)'!$A:$A,0)),"ID inexistente")))</f>
        <v/>
      </c>
      <c r="K114" s="18" t="str">
        <f aca="false">IF(A114="","",IF(AND(ISNA(MATCH(A114,Propostas!$A:$A,0)),ISNA(MATCH(A114,'Lula 2022 (2023-2026)'!$A:$A,0))),"ID inexistente",IF(OR(F114="",NOT(ISNUMBER(E114))),"Sem fonte ou data",IF(NOT(AND(LEFT(G114,8)="https://",OR(ISNUMBER(SEARCH(".gov.br",G114)),ISNUMBER(SEARCH(".leg.br",G114)),ISNUMBER(SEARCH(".jus.br",G114)),ISNUMBER(SEARCH(".mp.br",G114))))),"Sem link oficial",IF(OR(NOT(ISNUMBER(C114)),NOT(ISNUMBER(D114)),D114&lt;0,D114&gt;C114),"Valor inválido","Verificável")))))</f>
        <v/>
      </c>
    </row>
    <row r="115" customFormat="false" ht="15" hidden="false" customHeight="true" outlineLevel="0" collapsed="false">
      <c r="A115" s="15"/>
      <c r="B115" s="15"/>
      <c r="C115" s="16"/>
      <c r="D115" s="16"/>
      <c r="E115" s="17"/>
      <c r="F115" s="15"/>
      <c r="G115" s="15"/>
      <c r="H115" s="15"/>
      <c r="I115" s="15"/>
      <c r="J115" s="18" t="str">
        <f aca="false">IF(A115="","",IFERROR(INDEX(Propostas!$B:$B,MATCH(A115,Propostas!$A:$A,0)),IFERROR(INDEX('Lula 2022 (2023-2026)'!$D:$D,MATCH(A115,'Lula 2022 (2023-2026)'!$A:$A,0)),"ID inexistente")))</f>
        <v/>
      </c>
      <c r="K115" s="18" t="str">
        <f aca="false">IF(A115="","",IF(AND(ISNA(MATCH(A115,Propostas!$A:$A,0)),ISNA(MATCH(A115,'Lula 2022 (2023-2026)'!$A:$A,0))),"ID inexistente",IF(OR(F115="",NOT(ISNUMBER(E115))),"Sem fonte ou data",IF(NOT(AND(LEFT(G115,8)="https://",OR(ISNUMBER(SEARCH(".gov.br",G115)),ISNUMBER(SEARCH(".leg.br",G115)),ISNUMBER(SEARCH(".jus.br",G115)),ISNUMBER(SEARCH(".mp.br",G115))))),"Sem link oficial",IF(OR(NOT(ISNUMBER(C115)),NOT(ISNUMBER(D115)),D115&lt;0,D115&gt;C115),"Valor inválido","Verificável")))))</f>
        <v/>
      </c>
    </row>
    <row r="116" customFormat="false" ht="15" hidden="false" customHeight="true" outlineLevel="0" collapsed="false">
      <c r="A116" s="15"/>
      <c r="B116" s="15"/>
      <c r="C116" s="16"/>
      <c r="D116" s="16"/>
      <c r="E116" s="17"/>
      <c r="F116" s="15"/>
      <c r="G116" s="15"/>
      <c r="H116" s="15"/>
      <c r="I116" s="15"/>
      <c r="J116" s="18" t="str">
        <f aca="false">IF(A116="","",IFERROR(INDEX(Propostas!$B:$B,MATCH(A116,Propostas!$A:$A,0)),IFERROR(INDEX('Lula 2022 (2023-2026)'!$D:$D,MATCH(A116,'Lula 2022 (2023-2026)'!$A:$A,0)),"ID inexistente")))</f>
        <v/>
      </c>
      <c r="K116" s="18" t="str">
        <f aca="false">IF(A116="","",IF(AND(ISNA(MATCH(A116,Propostas!$A:$A,0)),ISNA(MATCH(A116,'Lula 2022 (2023-2026)'!$A:$A,0))),"ID inexistente",IF(OR(F116="",NOT(ISNUMBER(E116))),"Sem fonte ou data",IF(NOT(AND(LEFT(G116,8)="https://",OR(ISNUMBER(SEARCH(".gov.br",G116)),ISNUMBER(SEARCH(".leg.br",G116)),ISNUMBER(SEARCH(".jus.br",G116)),ISNUMBER(SEARCH(".mp.br",G116))))),"Sem link oficial",IF(OR(NOT(ISNUMBER(C116)),NOT(ISNUMBER(D116)),D116&lt;0,D116&gt;C116),"Valor inválido","Verificável")))))</f>
        <v/>
      </c>
    </row>
    <row r="117" customFormat="false" ht="15" hidden="false" customHeight="true" outlineLevel="0" collapsed="false">
      <c r="A117" s="15"/>
      <c r="B117" s="15"/>
      <c r="C117" s="16"/>
      <c r="D117" s="16"/>
      <c r="E117" s="17"/>
      <c r="F117" s="15"/>
      <c r="G117" s="15"/>
      <c r="H117" s="15"/>
      <c r="I117" s="15"/>
      <c r="J117" s="18" t="str">
        <f aca="false">IF(A117="","",IFERROR(INDEX(Propostas!$B:$B,MATCH(A117,Propostas!$A:$A,0)),IFERROR(INDEX('Lula 2022 (2023-2026)'!$D:$D,MATCH(A117,'Lula 2022 (2023-2026)'!$A:$A,0)),"ID inexistente")))</f>
        <v/>
      </c>
      <c r="K117" s="18" t="str">
        <f aca="false">IF(A117="","",IF(AND(ISNA(MATCH(A117,Propostas!$A:$A,0)),ISNA(MATCH(A117,'Lula 2022 (2023-2026)'!$A:$A,0))),"ID inexistente",IF(OR(F117="",NOT(ISNUMBER(E117))),"Sem fonte ou data",IF(NOT(AND(LEFT(G117,8)="https://",OR(ISNUMBER(SEARCH(".gov.br",G117)),ISNUMBER(SEARCH(".leg.br",G117)),ISNUMBER(SEARCH(".jus.br",G117)),ISNUMBER(SEARCH(".mp.br",G117))))),"Sem link oficial",IF(OR(NOT(ISNUMBER(C117)),NOT(ISNUMBER(D117)),D117&lt;0,D117&gt;C117),"Valor inválido","Verificável")))))</f>
        <v/>
      </c>
    </row>
    <row r="118" customFormat="false" ht="15" hidden="false" customHeight="true" outlineLevel="0" collapsed="false">
      <c r="A118" s="15"/>
      <c r="B118" s="15"/>
      <c r="C118" s="16"/>
      <c r="D118" s="16"/>
      <c r="E118" s="17"/>
      <c r="F118" s="15"/>
      <c r="G118" s="15"/>
      <c r="H118" s="15"/>
      <c r="I118" s="15"/>
      <c r="J118" s="18" t="str">
        <f aca="false">IF(A118="","",IFERROR(INDEX(Propostas!$B:$B,MATCH(A118,Propostas!$A:$A,0)),IFERROR(INDEX('Lula 2022 (2023-2026)'!$D:$D,MATCH(A118,'Lula 2022 (2023-2026)'!$A:$A,0)),"ID inexistente")))</f>
        <v/>
      </c>
      <c r="K118" s="18" t="str">
        <f aca="false">IF(A118="","",IF(AND(ISNA(MATCH(A118,Propostas!$A:$A,0)),ISNA(MATCH(A118,'Lula 2022 (2023-2026)'!$A:$A,0))),"ID inexistente",IF(OR(F118="",NOT(ISNUMBER(E118))),"Sem fonte ou data",IF(NOT(AND(LEFT(G118,8)="https://",OR(ISNUMBER(SEARCH(".gov.br",G118)),ISNUMBER(SEARCH(".leg.br",G118)),ISNUMBER(SEARCH(".jus.br",G118)),ISNUMBER(SEARCH(".mp.br",G118))))),"Sem link oficial",IF(OR(NOT(ISNUMBER(C118)),NOT(ISNUMBER(D118)),D118&lt;0,D118&gt;C118),"Valor inválido","Verificável")))))</f>
        <v/>
      </c>
    </row>
    <row r="119" customFormat="false" ht="15" hidden="false" customHeight="true" outlineLevel="0" collapsed="false">
      <c r="A119" s="15"/>
      <c r="B119" s="15"/>
      <c r="C119" s="16"/>
      <c r="D119" s="16"/>
      <c r="E119" s="17"/>
      <c r="F119" s="15"/>
      <c r="G119" s="15"/>
      <c r="H119" s="15"/>
      <c r="I119" s="15"/>
      <c r="J119" s="18" t="str">
        <f aca="false">IF(A119="","",IFERROR(INDEX(Propostas!$B:$B,MATCH(A119,Propostas!$A:$A,0)),IFERROR(INDEX('Lula 2022 (2023-2026)'!$D:$D,MATCH(A119,'Lula 2022 (2023-2026)'!$A:$A,0)),"ID inexistente")))</f>
        <v/>
      </c>
      <c r="K119" s="18" t="str">
        <f aca="false">IF(A119="","",IF(AND(ISNA(MATCH(A119,Propostas!$A:$A,0)),ISNA(MATCH(A119,'Lula 2022 (2023-2026)'!$A:$A,0))),"ID inexistente",IF(OR(F119="",NOT(ISNUMBER(E119))),"Sem fonte ou data",IF(NOT(AND(LEFT(G119,8)="https://",OR(ISNUMBER(SEARCH(".gov.br",G119)),ISNUMBER(SEARCH(".leg.br",G119)),ISNUMBER(SEARCH(".jus.br",G119)),ISNUMBER(SEARCH(".mp.br",G119))))),"Sem link oficial",IF(OR(NOT(ISNUMBER(C119)),NOT(ISNUMBER(D119)),D119&lt;0,D119&gt;C119),"Valor inválido","Verificável")))))</f>
        <v/>
      </c>
    </row>
    <row r="120" customFormat="false" ht="15" hidden="false" customHeight="true" outlineLevel="0" collapsed="false">
      <c r="A120" s="15"/>
      <c r="B120" s="15"/>
      <c r="C120" s="16"/>
      <c r="D120" s="16"/>
      <c r="E120" s="17"/>
      <c r="F120" s="15"/>
      <c r="G120" s="15"/>
      <c r="H120" s="15"/>
      <c r="I120" s="15"/>
      <c r="J120" s="18" t="str">
        <f aca="false">IF(A120="","",IFERROR(INDEX(Propostas!$B:$B,MATCH(A120,Propostas!$A:$A,0)),IFERROR(INDEX('Lula 2022 (2023-2026)'!$D:$D,MATCH(A120,'Lula 2022 (2023-2026)'!$A:$A,0)),"ID inexistente")))</f>
        <v/>
      </c>
      <c r="K120" s="18" t="str">
        <f aca="false">IF(A120="","",IF(AND(ISNA(MATCH(A120,Propostas!$A:$A,0)),ISNA(MATCH(A120,'Lula 2022 (2023-2026)'!$A:$A,0))),"ID inexistente",IF(OR(F120="",NOT(ISNUMBER(E120))),"Sem fonte ou data",IF(NOT(AND(LEFT(G120,8)="https://",OR(ISNUMBER(SEARCH(".gov.br",G120)),ISNUMBER(SEARCH(".leg.br",G120)),ISNUMBER(SEARCH(".jus.br",G120)),ISNUMBER(SEARCH(".mp.br",G120))))),"Sem link oficial",IF(OR(NOT(ISNUMBER(C120)),NOT(ISNUMBER(D120)),D120&lt;0,D120&gt;C120),"Valor inválido","Verificável")))))</f>
        <v/>
      </c>
    </row>
    <row r="121" customFormat="false" ht="15" hidden="false" customHeight="true" outlineLevel="0" collapsed="false">
      <c r="A121" s="15"/>
      <c r="B121" s="15"/>
      <c r="C121" s="16"/>
      <c r="D121" s="16"/>
      <c r="E121" s="17"/>
      <c r="F121" s="15"/>
      <c r="G121" s="15"/>
      <c r="H121" s="15"/>
      <c r="I121" s="15"/>
      <c r="J121" s="18" t="str">
        <f aca="false">IF(A121="","",IFERROR(INDEX(Propostas!$B:$B,MATCH(A121,Propostas!$A:$A,0)),IFERROR(INDEX('Lula 2022 (2023-2026)'!$D:$D,MATCH(A121,'Lula 2022 (2023-2026)'!$A:$A,0)),"ID inexistente")))</f>
        <v/>
      </c>
      <c r="K121" s="18" t="str">
        <f aca="false">IF(A121="","",IF(AND(ISNA(MATCH(A121,Propostas!$A:$A,0)),ISNA(MATCH(A121,'Lula 2022 (2023-2026)'!$A:$A,0))),"ID inexistente",IF(OR(F121="",NOT(ISNUMBER(E121))),"Sem fonte ou data",IF(NOT(AND(LEFT(G121,8)="https://",OR(ISNUMBER(SEARCH(".gov.br",G121)),ISNUMBER(SEARCH(".leg.br",G121)),ISNUMBER(SEARCH(".jus.br",G121)),ISNUMBER(SEARCH(".mp.br",G121))))),"Sem link oficial",IF(OR(NOT(ISNUMBER(C121)),NOT(ISNUMBER(D121)),D121&lt;0,D121&gt;C121),"Valor inválido","Verificável")))))</f>
        <v/>
      </c>
    </row>
    <row r="122" customFormat="false" ht="15" hidden="false" customHeight="true" outlineLevel="0" collapsed="false">
      <c r="A122" s="15"/>
      <c r="B122" s="15"/>
      <c r="C122" s="16"/>
      <c r="D122" s="16"/>
      <c r="E122" s="17"/>
      <c r="F122" s="15"/>
      <c r="G122" s="15"/>
      <c r="H122" s="15"/>
      <c r="I122" s="15"/>
      <c r="J122" s="18" t="str">
        <f aca="false">IF(A122="","",IFERROR(INDEX(Propostas!$B:$B,MATCH(A122,Propostas!$A:$A,0)),IFERROR(INDEX('Lula 2022 (2023-2026)'!$D:$D,MATCH(A122,'Lula 2022 (2023-2026)'!$A:$A,0)),"ID inexistente")))</f>
        <v/>
      </c>
      <c r="K122" s="18" t="str">
        <f aca="false">IF(A122="","",IF(AND(ISNA(MATCH(A122,Propostas!$A:$A,0)),ISNA(MATCH(A122,'Lula 2022 (2023-2026)'!$A:$A,0))),"ID inexistente",IF(OR(F122="",NOT(ISNUMBER(E122))),"Sem fonte ou data",IF(NOT(AND(LEFT(G122,8)="https://",OR(ISNUMBER(SEARCH(".gov.br",G122)),ISNUMBER(SEARCH(".leg.br",G122)),ISNUMBER(SEARCH(".jus.br",G122)),ISNUMBER(SEARCH(".mp.br",G122))))),"Sem link oficial",IF(OR(NOT(ISNUMBER(C122)),NOT(ISNUMBER(D122)),D122&lt;0,D122&gt;C122),"Valor inválido","Verificável")))))</f>
        <v/>
      </c>
    </row>
    <row r="123" customFormat="false" ht="15" hidden="false" customHeight="true" outlineLevel="0" collapsed="false">
      <c r="A123" s="15"/>
      <c r="B123" s="15"/>
      <c r="C123" s="16"/>
      <c r="D123" s="16"/>
      <c r="E123" s="17"/>
      <c r="F123" s="15"/>
      <c r="G123" s="15"/>
      <c r="H123" s="15"/>
      <c r="I123" s="15"/>
      <c r="J123" s="18" t="str">
        <f aca="false">IF(A123="","",IFERROR(INDEX(Propostas!$B:$B,MATCH(A123,Propostas!$A:$A,0)),IFERROR(INDEX('Lula 2022 (2023-2026)'!$D:$D,MATCH(A123,'Lula 2022 (2023-2026)'!$A:$A,0)),"ID inexistente")))</f>
        <v/>
      </c>
      <c r="K123" s="18" t="str">
        <f aca="false">IF(A123="","",IF(AND(ISNA(MATCH(A123,Propostas!$A:$A,0)),ISNA(MATCH(A123,'Lula 2022 (2023-2026)'!$A:$A,0))),"ID inexistente",IF(OR(F123="",NOT(ISNUMBER(E123))),"Sem fonte ou data",IF(NOT(AND(LEFT(G123,8)="https://",OR(ISNUMBER(SEARCH(".gov.br",G123)),ISNUMBER(SEARCH(".leg.br",G123)),ISNUMBER(SEARCH(".jus.br",G123)),ISNUMBER(SEARCH(".mp.br",G123))))),"Sem link oficial",IF(OR(NOT(ISNUMBER(C123)),NOT(ISNUMBER(D123)),D123&lt;0,D123&gt;C123),"Valor inválido","Verificável")))))</f>
        <v/>
      </c>
    </row>
    <row r="124" customFormat="false" ht="15" hidden="false" customHeight="true" outlineLevel="0" collapsed="false">
      <c r="A124" s="15"/>
      <c r="B124" s="15"/>
      <c r="C124" s="16"/>
      <c r="D124" s="16"/>
      <c r="E124" s="17"/>
      <c r="F124" s="15"/>
      <c r="G124" s="15"/>
      <c r="H124" s="15"/>
      <c r="I124" s="15"/>
      <c r="J124" s="18" t="str">
        <f aca="false">IF(A124="","",IFERROR(INDEX(Propostas!$B:$B,MATCH(A124,Propostas!$A:$A,0)),IFERROR(INDEX('Lula 2022 (2023-2026)'!$D:$D,MATCH(A124,'Lula 2022 (2023-2026)'!$A:$A,0)),"ID inexistente")))</f>
        <v/>
      </c>
      <c r="K124" s="18" t="str">
        <f aca="false">IF(A124="","",IF(AND(ISNA(MATCH(A124,Propostas!$A:$A,0)),ISNA(MATCH(A124,'Lula 2022 (2023-2026)'!$A:$A,0))),"ID inexistente",IF(OR(F124="",NOT(ISNUMBER(E124))),"Sem fonte ou data",IF(NOT(AND(LEFT(G124,8)="https://",OR(ISNUMBER(SEARCH(".gov.br",G124)),ISNUMBER(SEARCH(".leg.br",G124)),ISNUMBER(SEARCH(".jus.br",G124)),ISNUMBER(SEARCH(".mp.br",G124))))),"Sem link oficial",IF(OR(NOT(ISNUMBER(C124)),NOT(ISNUMBER(D124)),D124&lt;0,D124&gt;C124),"Valor inválido","Verificável")))))</f>
        <v/>
      </c>
    </row>
    <row r="125" customFormat="false" ht="15" hidden="false" customHeight="true" outlineLevel="0" collapsed="false">
      <c r="A125" s="15"/>
      <c r="B125" s="15"/>
      <c r="C125" s="16"/>
      <c r="D125" s="16"/>
      <c r="E125" s="17"/>
      <c r="F125" s="15"/>
      <c r="G125" s="15"/>
      <c r="H125" s="15"/>
      <c r="I125" s="15"/>
      <c r="J125" s="18" t="str">
        <f aca="false">IF(A125="","",IFERROR(INDEX(Propostas!$B:$B,MATCH(A125,Propostas!$A:$A,0)),IFERROR(INDEX('Lula 2022 (2023-2026)'!$D:$D,MATCH(A125,'Lula 2022 (2023-2026)'!$A:$A,0)),"ID inexistente")))</f>
        <v/>
      </c>
      <c r="K125" s="18" t="str">
        <f aca="false">IF(A125="","",IF(AND(ISNA(MATCH(A125,Propostas!$A:$A,0)),ISNA(MATCH(A125,'Lula 2022 (2023-2026)'!$A:$A,0))),"ID inexistente",IF(OR(F125="",NOT(ISNUMBER(E125))),"Sem fonte ou data",IF(NOT(AND(LEFT(G125,8)="https://",OR(ISNUMBER(SEARCH(".gov.br",G125)),ISNUMBER(SEARCH(".leg.br",G125)),ISNUMBER(SEARCH(".jus.br",G125)),ISNUMBER(SEARCH(".mp.br",G125))))),"Sem link oficial",IF(OR(NOT(ISNUMBER(C125)),NOT(ISNUMBER(D125)),D125&lt;0,D125&gt;C125),"Valor inválido","Verificável")))))</f>
        <v/>
      </c>
    </row>
    <row r="126" customFormat="false" ht="15" hidden="false" customHeight="true" outlineLevel="0" collapsed="false">
      <c r="A126" s="15"/>
      <c r="B126" s="15"/>
      <c r="C126" s="16"/>
      <c r="D126" s="16"/>
      <c r="E126" s="17"/>
      <c r="F126" s="15"/>
      <c r="G126" s="15"/>
      <c r="H126" s="15"/>
      <c r="I126" s="15"/>
      <c r="J126" s="18" t="str">
        <f aca="false">IF(A126="","",IFERROR(INDEX(Propostas!$B:$B,MATCH(A126,Propostas!$A:$A,0)),IFERROR(INDEX('Lula 2022 (2023-2026)'!$D:$D,MATCH(A126,'Lula 2022 (2023-2026)'!$A:$A,0)),"ID inexistente")))</f>
        <v/>
      </c>
      <c r="K126" s="18" t="str">
        <f aca="false">IF(A126="","",IF(AND(ISNA(MATCH(A126,Propostas!$A:$A,0)),ISNA(MATCH(A126,'Lula 2022 (2023-2026)'!$A:$A,0))),"ID inexistente",IF(OR(F126="",NOT(ISNUMBER(E126))),"Sem fonte ou data",IF(NOT(AND(LEFT(G126,8)="https://",OR(ISNUMBER(SEARCH(".gov.br",G126)),ISNUMBER(SEARCH(".leg.br",G126)),ISNUMBER(SEARCH(".jus.br",G126)),ISNUMBER(SEARCH(".mp.br",G126))))),"Sem link oficial",IF(OR(NOT(ISNUMBER(C126)),NOT(ISNUMBER(D126)),D126&lt;0,D126&gt;C126),"Valor inválido","Verificável")))))</f>
        <v/>
      </c>
    </row>
    <row r="127" customFormat="false" ht="15" hidden="false" customHeight="true" outlineLevel="0" collapsed="false">
      <c r="A127" s="15"/>
      <c r="B127" s="15"/>
      <c r="C127" s="16"/>
      <c r="D127" s="16"/>
      <c r="E127" s="17"/>
      <c r="F127" s="15"/>
      <c r="G127" s="15"/>
      <c r="H127" s="15"/>
      <c r="I127" s="15"/>
      <c r="J127" s="18" t="str">
        <f aca="false">IF(A127="","",IFERROR(INDEX(Propostas!$B:$B,MATCH(A127,Propostas!$A:$A,0)),IFERROR(INDEX('Lula 2022 (2023-2026)'!$D:$D,MATCH(A127,'Lula 2022 (2023-2026)'!$A:$A,0)),"ID inexistente")))</f>
        <v/>
      </c>
      <c r="K127" s="18" t="str">
        <f aca="false">IF(A127="","",IF(AND(ISNA(MATCH(A127,Propostas!$A:$A,0)),ISNA(MATCH(A127,'Lula 2022 (2023-2026)'!$A:$A,0))),"ID inexistente",IF(OR(F127="",NOT(ISNUMBER(E127))),"Sem fonte ou data",IF(NOT(AND(LEFT(G127,8)="https://",OR(ISNUMBER(SEARCH(".gov.br",G127)),ISNUMBER(SEARCH(".leg.br",G127)),ISNUMBER(SEARCH(".jus.br",G127)),ISNUMBER(SEARCH(".mp.br",G127))))),"Sem link oficial",IF(OR(NOT(ISNUMBER(C127)),NOT(ISNUMBER(D127)),D127&lt;0,D127&gt;C127),"Valor inválido","Verificável")))))</f>
        <v/>
      </c>
    </row>
    <row r="128" customFormat="false" ht="15" hidden="false" customHeight="true" outlineLevel="0" collapsed="false">
      <c r="A128" s="15"/>
      <c r="B128" s="15"/>
      <c r="C128" s="16"/>
      <c r="D128" s="16"/>
      <c r="E128" s="17"/>
      <c r="F128" s="15"/>
      <c r="G128" s="15"/>
      <c r="H128" s="15"/>
      <c r="I128" s="15"/>
      <c r="J128" s="18" t="str">
        <f aca="false">IF(A128="","",IFERROR(INDEX(Propostas!$B:$B,MATCH(A128,Propostas!$A:$A,0)),IFERROR(INDEX('Lula 2022 (2023-2026)'!$D:$D,MATCH(A128,'Lula 2022 (2023-2026)'!$A:$A,0)),"ID inexistente")))</f>
        <v/>
      </c>
      <c r="K128" s="18" t="str">
        <f aca="false">IF(A128="","",IF(AND(ISNA(MATCH(A128,Propostas!$A:$A,0)),ISNA(MATCH(A128,'Lula 2022 (2023-2026)'!$A:$A,0))),"ID inexistente",IF(OR(F128="",NOT(ISNUMBER(E128))),"Sem fonte ou data",IF(NOT(AND(LEFT(G128,8)="https://",OR(ISNUMBER(SEARCH(".gov.br",G128)),ISNUMBER(SEARCH(".leg.br",G128)),ISNUMBER(SEARCH(".jus.br",G128)),ISNUMBER(SEARCH(".mp.br",G128))))),"Sem link oficial",IF(OR(NOT(ISNUMBER(C128)),NOT(ISNUMBER(D128)),D128&lt;0,D128&gt;C128),"Valor inválido","Verificável")))))</f>
        <v/>
      </c>
    </row>
    <row r="129" customFormat="false" ht="15" hidden="false" customHeight="true" outlineLevel="0" collapsed="false">
      <c r="A129" s="15"/>
      <c r="B129" s="15"/>
      <c r="C129" s="16"/>
      <c r="D129" s="16"/>
      <c r="E129" s="17"/>
      <c r="F129" s="15"/>
      <c r="G129" s="15"/>
      <c r="H129" s="15"/>
      <c r="I129" s="15"/>
      <c r="J129" s="18" t="str">
        <f aca="false">IF(A129="","",IFERROR(INDEX(Propostas!$B:$B,MATCH(A129,Propostas!$A:$A,0)),IFERROR(INDEX('Lula 2022 (2023-2026)'!$D:$D,MATCH(A129,'Lula 2022 (2023-2026)'!$A:$A,0)),"ID inexistente")))</f>
        <v/>
      </c>
      <c r="K129" s="18" t="str">
        <f aca="false">IF(A129="","",IF(AND(ISNA(MATCH(A129,Propostas!$A:$A,0)),ISNA(MATCH(A129,'Lula 2022 (2023-2026)'!$A:$A,0))),"ID inexistente",IF(OR(F129="",NOT(ISNUMBER(E129))),"Sem fonte ou data",IF(NOT(AND(LEFT(G129,8)="https://",OR(ISNUMBER(SEARCH(".gov.br",G129)),ISNUMBER(SEARCH(".leg.br",G129)),ISNUMBER(SEARCH(".jus.br",G129)),ISNUMBER(SEARCH(".mp.br",G129))))),"Sem link oficial",IF(OR(NOT(ISNUMBER(C129)),NOT(ISNUMBER(D129)),D129&lt;0,D129&gt;C129),"Valor inválido","Verificável")))))</f>
        <v/>
      </c>
    </row>
    <row r="130" customFormat="false" ht="15" hidden="false" customHeight="true" outlineLevel="0" collapsed="false">
      <c r="A130" s="15"/>
      <c r="B130" s="15"/>
      <c r="C130" s="16"/>
      <c r="D130" s="16"/>
      <c r="E130" s="17"/>
      <c r="F130" s="15"/>
      <c r="G130" s="15"/>
      <c r="H130" s="15"/>
      <c r="I130" s="15"/>
      <c r="J130" s="18" t="str">
        <f aca="false">IF(A130="","",IFERROR(INDEX(Propostas!$B:$B,MATCH(A130,Propostas!$A:$A,0)),IFERROR(INDEX('Lula 2022 (2023-2026)'!$D:$D,MATCH(A130,'Lula 2022 (2023-2026)'!$A:$A,0)),"ID inexistente")))</f>
        <v/>
      </c>
      <c r="K130" s="18" t="str">
        <f aca="false">IF(A130="","",IF(AND(ISNA(MATCH(A130,Propostas!$A:$A,0)),ISNA(MATCH(A130,'Lula 2022 (2023-2026)'!$A:$A,0))),"ID inexistente",IF(OR(F130="",NOT(ISNUMBER(E130))),"Sem fonte ou data",IF(NOT(AND(LEFT(G130,8)="https://",OR(ISNUMBER(SEARCH(".gov.br",G130)),ISNUMBER(SEARCH(".leg.br",G130)),ISNUMBER(SEARCH(".jus.br",G130)),ISNUMBER(SEARCH(".mp.br",G130))))),"Sem link oficial",IF(OR(NOT(ISNUMBER(C130)),NOT(ISNUMBER(D130)),D130&lt;0,D130&gt;C130),"Valor inválido","Verificável")))))</f>
        <v/>
      </c>
    </row>
    <row r="131" customFormat="false" ht="15" hidden="false" customHeight="true" outlineLevel="0" collapsed="false">
      <c r="A131" s="15"/>
      <c r="B131" s="15"/>
      <c r="C131" s="16"/>
      <c r="D131" s="16"/>
      <c r="E131" s="17"/>
      <c r="F131" s="15"/>
      <c r="G131" s="15"/>
      <c r="H131" s="15"/>
      <c r="I131" s="15"/>
      <c r="J131" s="18" t="str">
        <f aca="false">IF(A131="","",IFERROR(INDEX(Propostas!$B:$B,MATCH(A131,Propostas!$A:$A,0)),IFERROR(INDEX('Lula 2022 (2023-2026)'!$D:$D,MATCH(A131,'Lula 2022 (2023-2026)'!$A:$A,0)),"ID inexistente")))</f>
        <v/>
      </c>
      <c r="K131" s="18" t="str">
        <f aca="false">IF(A131="","",IF(AND(ISNA(MATCH(A131,Propostas!$A:$A,0)),ISNA(MATCH(A131,'Lula 2022 (2023-2026)'!$A:$A,0))),"ID inexistente",IF(OR(F131="",NOT(ISNUMBER(E131))),"Sem fonte ou data",IF(NOT(AND(LEFT(G131,8)="https://",OR(ISNUMBER(SEARCH(".gov.br",G131)),ISNUMBER(SEARCH(".leg.br",G131)),ISNUMBER(SEARCH(".jus.br",G131)),ISNUMBER(SEARCH(".mp.br",G131))))),"Sem link oficial",IF(OR(NOT(ISNUMBER(C131)),NOT(ISNUMBER(D131)),D131&lt;0,D131&gt;C131),"Valor inválido","Verificável")))))</f>
        <v/>
      </c>
    </row>
    <row r="132" customFormat="false" ht="15" hidden="false" customHeight="true" outlineLevel="0" collapsed="false">
      <c r="A132" s="15"/>
      <c r="B132" s="15"/>
      <c r="C132" s="16"/>
      <c r="D132" s="16"/>
      <c r="E132" s="17"/>
      <c r="F132" s="15"/>
      <c r="G132" s="15"/>
      <c r="H132" s="15"/>
      <c r="I132" s="15"/>
      <c r="J132" s="18" t="str">
        <f aca="false">IF(A132="","",IFERROR(INDEX(Propostas!$B:$B,MATCH(A132,Propostas!$A:$A,0)),IFERROR(INDEX('Lula 2022 (2023-2026)'!$D:$D,MATCH(A132,'Lula 2022 (2023-2026)'!$A:$A,0)),"ID inexistente")))</f>
        <v/>
      </c>
      <c r="K132" s="18" t="str">
        <f aca="false">IF(A132="","",IF(AND(ISNA(MATCH(A132,Propostas!$A:$A,0)),ISNA(MATCH(A132,'Lula 2022 (2023-2026)'!$A:$A,0))),"ID inexistente",IF(OR(F132="",NOT(ISNUMBER(E132))),"Sem fonte ou data",IF(NOT(AND(LEFT(G132,8)="https://",OR(ISNUMBER(SEARCH(".gov.br",G132)),ISNUMBER(SEARCH(".leg.br",G132)),ISNUMBER(SEARCH(".jus.br",G132)),ISNUMBER(SEARCH(".mp.br",G132))))),"Sem link oficial",IF(OR(NOT(ISNUMBER(C132)),NOT(ISNUMBER(D132)),D132&lt;0,D132&gt;C132),"Valor inválido","Verificável")))))</f>
        <v/>
      </c>
    </row>
    <row r="133" customFormat="false" ht="15" hidden="false" customHeight="true" outlineLevel="0" collapsed="false">
      <c r="A133" s="15"/>
      <c r="B133" s="15"/>
      <c r="C133" s="16"/>
      <c r="D133" s="16"/>
      <c r="E133" s="17"/>
      <c r="F133" s="15"/>
      <c r="G133" s="15"/>
      <c r="H133" s="15"/>
      <c r="I133" s="15"/>
      <c r="J133" s="18" t="str">
        <f aca="false">IF(A133="","",IFERROR(INDEX(Propostas!$B:$B,MATCH(A133,Propostas!$A:$A,0)),IFERROR(INDEX('Lula 2022 (2023-2026)'!$D:$D,MATCH(A133,'Lula 2022 (2023-2026)'!$A:$A,0)),"ID inexistente")))</f>
        <v/>
      </c>
      <c r="K133" s="18" t="str">
        <f aca="false">IF(A133="","",IF(AND(ISNA(MATCH(A133,Propostas!$A:$A,0)),ISNA(MATCH(A133,'Lula 2022 (2023-2026)'!$A:$A,0))),"ID inexistente",IF(OR(F133="",NOT(ISNUMBER(E133))),"Sem fonte ou data",IF(NOT(AND(LEFT(G133,8)="https://",OR(ISNUMBER(SEARCH(".gov.br",G133)),ISNUMBER(SEARCH(".leg.br",G133)),ISNUMBER(SEARCH(".jus.br",G133)),ISNUMBER(SEARCH(".mp.br",G133))))),"Sem link oficial",IF(OR(NOT(ISNUMBER(C133)),NOT(ISNUMBER(D133)),D133&lt;0,D133&gt;C133),"Valor inválido","Verificável")))))</f>
        <v/>
      </c>
    </row>
    <row r="134" customFormat="false" ht="15" hidden="false" customHeight="true" outlineLevel="0" collapsed="false">
      <c r="A134" s="15"/>
      <c r="B134" s="15"/>
      <c r="C134" s="16"/>
      <c r="D134" s="16"/>
      <c r="E134" s="17"/>
      <c r="F134" s="15"/>
      <c r="G134" s="15"/>
      <c r="H134" s="15"/>
      <c r="I134" s="15"/>
      <c r="J134" s="18" t="str">
        <f aca="false">IF(A134="","",IFERROR(INDEX(Propostas!$B:$B,MATCH(A134,Propostas!$A:$A,0)),IFERROR(INDEX('Lula 2022 (2023-2026)'!$D:$D,MATCH(A134,'Lula 2022 (2023-2026)'!$A:$A,0)),"ID inexistente")))</f>
        <v/>
      </c>
      <c r="K134" s="18" t="str">
        <f aca="false">IF(A134="","",IF(AND(ISNA(MATCH(A134,Propostas!$A:$A,0)),ISNA(MATCH(A134,'Lula 2022 (2023-2026)'!$A:$A,0))),"ID inexistente",IF(OR(F134="",NOT(ISNUMBER(E134))),"Sem fonte ou data",IF(NOT(AND(LEFT(G134,8)="https://",OR(ISNUMBER(SEARCH(".gov.br",G134)),ISNUMBER(SEARCH(".leg.br",G134)),ISNUMBER(SEARCH(".jus.br",G134)),ISNUMBER(SEARCH(".mp.br",G134))))),"Sem link oficial",IF(OR(NOT(ISNUMBER(C134)),NOT(ISNUMBER(D134)),D134&lt;0,D134&gt;C134),"Valor inválido","Verificável")))))</f>
        <v/>
      </c>
    </row>
    <row r="135" customFormat="false" ht="15" hidden="false" customHeight="true" outlineLevel="0" collapsed="false">
      <c r="A135" s="15"/>
      <c r="B135" s="15"/>
      <c r="C135" s="16"/>
      <c r="D135" s="16"/>
      <c r="E135" s="17"/>
      <c r="F135" s="15"/>
      <c r="G135" s="15"/>
      <c r="H135" s="15"/>
      <c r="I135" s="15"/>
      <c r="J135" s="18" t="str">
        <f aca="false">IF(A135="","",IFERROR(INDEX(Propostas!$B:$B,MATCH(A135,Propostas!$A:$A,0)),IFERROR(INDEX('Lula 2022 (2023-2026)'!$D:$D,MATCH(A135,'Lula 2022 (2023-2026)'!$A:$A,0)),"ID inexistente")))</f>
        <v/>
      </c>
      <c r="K135" s="18" t="str">
        <f aca="false">IF(A135="","",IF(AND(ISNA(MATCH(A135,Propostas!$A:$A,0)),ISNA(MATCH(A135,'Lula 2022 (2023-2026)'!$A:$A,0))),"ID inexistente",IF(OR(F135="",NOT(ISNUMBER(E135))),"Sem fonte ou data",IF(NOT(AND(LEFT(G135,8)="https://",OR(ISNUMBER(SEARCH(".gov.br",G135)),ISNUMBER(SEARCH(".leg.br",G135)),ISNUMBER(SEARCH(".jus.br",G135)),ISNUMBER(SEARCH(".mp.br",G135))))),"Sem link oficial",IF(OR(NOT(ISNUMBER(C135)),NOT(ISNUMBER(D135)),D135&lt;0,D135&gt;C135),"Valor inválido","Verificável")))))</f>
        <v/>
      </c>
    </row>
    <row r="136" customFormat="false" ht="15" hidden="false" customHeight="true" outlineLevel="0" collapsed="false">
      <c r="A136" s="15"/>
      <c r="B136" s="15"/>
      <c r="C136" s="16"/>
      <c r="D136" s="16"/>
      <c r="E136" s="17"/>
      <c r="F136" s="15"/>
      <c r="G136" s="15"/>
      <c r="H136" s="15"/>
      <c r="I136" s="15"/>
      <c r="J136" s="18" t="str">
        <f aca="false">IF(A136="","",IFERROR(INDEX(Propostas!$B:$B,MATCH(A136,Propostas!$A:$A,0)),IFERROR(INDEX('Lula 2022 (2023-2026)'!$D:$D,MATCH(A136,'Lula 2022 (2023-2026)'!$A:$A,0)),"ID inexistente")))</f>
        <v/>
      </c>
      <c r="K136" s="18" t="str">
        <f aca="false">IF(A136="","",IF(AND(ISNA(MATCH(A136,Propostas!$A:$A,0)),ISNA(MATCH(A136,'Lula 2022 (2023-2026)'!$A:$A,0))),"ID inexistente",IF(OR(F136="",NOT(ISNUMBER(E136))),"Sem fonte ou data",IF(NOT(AND(LEFT(G136,8)="https://",OR(ISNUMBER(SEARCH(".gov.br",G136)),ISNUMBER(SEARCH(".leg.br",G136)),ISNUMBER(SEARCH(".jus.br",G136)),ISNUMBER(SEARCH(".mp.br",G136))))),"Sem link oficial",IF(OR(NOT(ISNUMBER(C136)),NOT(ISNUMBER(D136)),D136&lt;0,D136&gt;C136),"Valor inválido","Verificável")))))</f>
        <v/>
      </c>
    </row>
    <row r="137" customFormat="false" ht="15" hidden="false" customHeight="true" outlineLevel="0" collapsed="false">
      <c r="A137" s="15"/>
      <c r="B137" s="15"/>
      <c r="C137" s="16"/>
      <c r="D137" s="16"/>
      <c r="E137" s="17"/>
      <c r="F137" s="15"/>
      <c r="G137" s="15"/>
      <c r="H137" s="15"/>
      <c r="I137" s="15"/>
      <c r="J137" s="18" t="str">
        <f aca="false">IF(A137="","",IFERROR(INDEX(Propostas!$B:$B,MATCH(A137,Propostas!$A:$A,0)),IFERROR(INDEX('Lula 2022 (2023-2026)'!$D:$D,MATCH(A137,'Lula 2022 (2023-2026)'!$A:$A,0)),"ID inexistente")))</f>
        <v/>
      </c>
      <c r="K137" s="18" t="str">
        <f aca="false">IF(A137="","",IF(AND(ISNA(MATCH(A137,Propostas!$A:$A,0)),ISNA(MATCH(A137,'Lula 2022 (2023-2026)'!$A:$A,0))),"ID inexistente",IF(OR(F137="",NOT(ISNUMBER(E137))),"Sem fonte ou data",IF(NOT(AND(LEFT(G137,8)="https://",OR(ISNUMBER(SEARCH(".gov.br",G137)),ISNUMBER(SEARCH(".leg.br",G137)),ISNUMBER(SEARCH(".jus.br",G137)),ISNUMBER(SEARCH(".mp.br",G137))))),"Sem link oficial",IF(OR(NOT(ISNUMBER(C137)),NOT(ISNUMBER(D137)),D137&lt;0,D137&gt;C137),"Valor inválido","Verificável")))))</f>
        <v/>
      </c>
    </row>
    <row r="138" customFormat="false" ht="15" hidden="false" customHeight="true" outlineLevel="0" collapsed="false">
      <c r="A138" s="15"/>
      <c r="B138" s="15"/>
      <c r="C138" s="16"/>
      <c r="D138" s="16"/>
      <c r="E138" s="17"/>
      <c r="F138" s="15"/>
      <c r="G138" s="15"/>
      <c r="H138" s="15"/>
      <c r="I138" s="15"/>
      <c r="J138" s="18" t="str">
        <f aca="false">IF(A138="","",IFERROR(INDEX(Propostas!$B:$B,MATCH(A138,Propostas!$A:$A,0)),IFERROR(INDEX('Lula 2022 (2023-2026)'!$D:$D,MATCH(A138,'Lula 2022 (2023-2026)'!$A:$A,0)),"ID inexistente")))</f>
        <v/>
      </c>
      <c r="K138" s="18" t="str">
        <f aca="false">IF(A138="","",IF(AND(ISNA(MATCH(A138,Propostas!$A:$A,0)),ISNA(MATCH(A138,'Lula 2022 (2023-2026)'!$A:$A,0))),"ID inexistente",IF(OR(F138="",NOT(ISNUMBER(E138))),"Sem fonte ou data",IF(NOT(AND(LEFT(G138,8)="https://",OR(ISNUMBER(SEARCH(".gov.br",G138)),ISNUMBER(SEARCH(".leg.br",G138)),ISNUMBER(SEARCH(".jus.br",G138)),ISNUMBER(SEARCH(".mp.br",G138))))),"Sem link oficial",IF(OR(NOT(ISNUMBER(C138)),NOT(ISNUMBER(D138)),D138&lt;0,D138&gt;C138),"Valor inválido","Verificável")))))</f>
        <v/>
      </c>
    </row>
    <row r="139" customFormat="false" ht="15" hidden="false" customHeight="true" outlineLevel="0" collapsed="false">
      <c r="A139" s="15"/>
      <c r="B139" s="15"/>
      <c r="C139" s="16"/>
      <c r="D139" s="16"/>
      <c r="E139" s="17"/>
      <c r="F139" s="15"/>
      <c r="G139" s="15"/>
      <c r="H139" s="15"/>
      <c r="I139" s="15"/>
      <c r="J139" s="18" t="str">
        <f aca="false">IF(A139="","",IFERROR(INDEX(Propostas!$B:$B,MATCH(A139,Propostas!$A:$A,0)),IFERROR(INDEX('Lula 2022 (2023-2026)'!$D:$D,MATCH(A139,'Lula 2022 (2023-2026)'!$A:$A,0)),"ID inexistente")))</f>
        <v/>
      </c>
      <c r="K139" s="18" t="str">
        <f aca="false">IF(A139="","",IF(AND(ISNA(MATCH(A139,Propostas!$A:$A,0)),ISNA(MATCH(A139,'Lula 2022 (2023-2026)'!$A:$A,0))),"ID inexistente",IF(OR(F139="",NOT(ISNUMBER(E139))),"Sem fonte ou data",IF(NOT(AND(LEFT(G139,8)="https://",OR(ISNUMBER(SEARCH(".gov.br",G139)),ISNUMBER(SEARCH(".leg.br",G139)),ISNUMBER(SEARCH(".jus.br",G139)),ISNUMBER(SEARCH(".mp.br",G139))))),"Sem link oficial",IF(OR(NOT(ISNUMBER(C139)),NOT(ISNUMBER(D139)),D139&lt;0,D139&gt;C139),"Valor inválido","Verificável")))))</f>
        <v/>
      </c>
    </row>
    <row r="140" customFormat="false" ht="15" hidden="false" customHeight="true" outlineLevel="0" collapsed="false">
      <c r="A140" s="15"/>
      <c r="B140" s="15"/>
      <c r="C140" s="16"/>
      <c r="D140" s="16"/>
      <c r="E140" s="17"/>
      <c r="F140" s="15"/>
      <c r="G140" s="15"/>
      <c r="H140" s="15"/>
      <c r="I140" s="15"/>
      <c r="J140" s="18" t="str">
        <f aca="false">IF(A140="","",IFERROR(INDEX(Propostas!$B:$B,MATCH(A140,Propostas!$A:$A,0)),IFERROR(INDEX('Lula 2022 (2023-2026)'!$D:$D,MATCH(A140,'Lula 2022 (2023-2026)'!$A:$A,0)),"ID inexistente")))</f>
        <v/>
      </c>
      <c r="K140" s="18" t="str">
        <f aca="false">IF(A140="","",IF(AND(ISNA(MATCH(A140,Propostas!$A:$A,0)),ISNA(MATCH(A140,'Lula 2022 (2023-2026)'!$A:$A,0))),"ID inexistente",IF(OR(F140="",NOT(ISNUMBER(E140))),"Sem fonte ou data",IF(NOT(AND(LEFT(G140,8)="https://",OR(ISNUMBER(SEARCH(".gov.br",G140)),ISNUMBER(SEARCH(".leg.br",G140)),ISNUMBER(SEARCH(".jus.br",G140)),ISNUMBER(SEARCH(".mp.br",G140))))),"Sem link oficial",IF(OR(NOT(ISNUMBER(C140)),NOT(ISNUMBER(D140)),D140&lt;0,D140&gt;C140),"Valor inválido","Verificável")))))</f>
        <v/>
      </c>
    </row>
    <row r="141" customFormat="false" ht="15" hidden="false" customHeight="true" outlineLevel="0" collapsed="false">
      <c r="A141" s="15"/>
      <c r="B141" s="15"/>
      <c r="C141" s="16"/>
      <c r="D141" s="16"/>
      <c r="E141" s="17"/>
      <c r="F141" s="15"/>
      <c r="G141" s="15"/>
      <c r="H141" s="15"/>
      <c r="I141" s="15"/>
      <c r="J141" s="18" t="str">
        <f aca="false">IF(A141="","",IFERROR(INDEX(Propostas!$B:$B,MATCH(A141,Propostas!$A:$A,0)),IFERROR(INDEX('Lula 2022 (2023-2026)'!$D:$D,MATCH(A141,'Lula 2022 (2023-2026)'!$A:$A,0)),"ID inexistente")))</f>
        <v/>
      </c>
      <c r="K141" s="18" t="str">
        <f aca="false">IF(A141="","",IF(AND(ISNA(MATCH(A141,Propostas!$A:$A,0)),ISNA(MATCH(A141,'Lula 2022 (2023-2026)'!$A:$A,0))),"ID inexistente",IF(OR(F141="",NOT(ISNUMBER(E141))),"Sem fonte ou data",IF(NOT(AND(LEFT(G141,8)="https://",OR(ISNUMBER(SEARCH(".gov.br",G141)),ISNUMBER(SEARCH(".leg.br",G141)),ISNUMBER(SEARCH(".jus.br",G141)),ISNUMBER(SEARCH(".mp.br",G141))))),"Sem link oficial",IF(OR(NOT(ISNUMBER(C141)),NOT(ISNUMBER(D141)),D141&lt;0,D141&gt;C141),"Valor inválido","Verificável")))))</f>
        <v/>
      </c>
    </row>
    <row r="142" customFormat="false" ht="15" hidden="false" customHeight="true" outlineLevel="0" collapsed="false">
      <c r="A142" s="15"/>
      <c r="B142" s="15"/>
      <c r="C142" s="16"/>
      <c r="D142" s="16"/>
      <c r="E142" s="17"/>
      <c r="F142" s="15"/>
      <c r="G142" s="15"/>
      <c r="H142" s="15"/>
      <c r="I142" s="15"/>
      <c r="J142" s="18" t="str">
        <f aca="false">IF(A142="","",IFERROR(INDEX(Propostas!$B:$B,MATCH(A142,Propostas!$A:$A,0)),IFERROR(INDEX('Lula 2022 (2023-2026)'!$D:$D,MATCH(A142,'Lula 2022 (2023-2026)'!$A:$A,0)),"ID inexistente")))</f>
        <v/>
      </c>
      <c r="K142" s="18" t="str">
        <f aca="false">IF(A142="","",IF(AND(ISNA(MATCH(A142,Propostas!$A:$A,0)),ISNA(MATCH(A142,'Lula 2022 (2023-2026)'!$A:$A,0))),"ID inexistente",IF(OR(F142="",NOT(ISNUMBER(E142))),"Sem fonte ou data",IF(NOT(AND(LEFT(G142,8)="https://",OR(ISNUMBER(SEARCH(".gov.br",G142)),ISNUMBER(SEARCH(".leg.br",G142)),ISNUMBER(SEARCH(".jus.br",G142)),ISNUMBER(SEARCH(".mp.br",G142))))),"Sem link oficial",IF(OR(NOT(ISNUMBER(C142)),NOT(ISNUMBER(D142)),D142&lt;0,D142&gt;C142),"Valor inválido","Verificável")))))</f>
        <v/>
      </c>
    </row>
    <row r="143" customFormat="false" ht="15" hidden="false" customHeight="true" outlineLevel="0" collapsed="false">
      <c r="A143" s="15"/>
      <c r="B143" s="15"/>
      <c r="C143" s="16"/>
      <c r="D143" s="16"/>
      <c r="E143" s="17"/>
      <c r="F143" s="15"/>
      <c r="G143" s="15"/>
      <c r="H143" s="15"/>
      <c r="I143" s="15"/>
      <c r="J143" s="18" t="str">
        <f aca="false">IF(A143="","",IFERROR(INDEX(Propostas!$B:$B,MATCH(A143,Propostas!$A:$A,0)),IFERROR(INDEX('Lula 2022 (2023-2026)'!$D:$D,MATCH(A143,'Lula 2022 (2023-2026)'!$A:$A,0)),"ID inexistente")))</f>
        <v/>
      </c>
      <c r="K143" s="18" t="str">
        <f aca="false">IF(A143="","",IF(AND(ISNA(MATCH(A143,Propostas!$A:$A,0)),ISNA(MATCH(A143,'Lula 2022 (2023-2026)'!$A:$A,0))),"ID inexistente",IF(OR(F143="",NOT(ISNUMBER(E143))),"Sem fonte ou data",IF(NOT(AND(LEFT(G143,8)="https://",OR(ISNUMBER(SEARCH(".gov.br",G143)),ISNUMBER(SEARCH(".leg.br",G143)),ISNUMBER(SEARCH(".jus.br",G143)),ISNUMBER(SEARCH(".mp.br",G143))))),"Sem link oficial",IF(OR(NOT(ISNUMBER(C143)),NOT(ISNUMBER(D143)),D143&lt;0,D143&gt;C143),"Valor inválido","Verificável")))))</f>
        <v/>
      </c>
    </row>
    <row r="144" customFormat="false" ht="15" hidden="false" customHeight="true" outlineLevel="0" collapsed="false">
      <c r="A144" s="15"/>
      <c r="B144" s="15"/>
      <c r="C144" s="16"/>
      <c r="D144" s="16"/>
      <c r="E144" s="17"/>
      <c r="F144" s="15"/>
      <c r="G144" s="15"/>
      <c r="H144" s="15"/>
      <c r="I144" s="15"/>
      <c r="J144" s="18" t="str">
        <f aca="false">IF(A144="","",IFERROR(INDEX(Propostas!$B:$B,MATCH(A144,Propostas!$A:$A,0)),IFERROR(INDEX('Lula 2022 (2023-2026)'!$D:$D,MATCH(A144,'Lula 2022 (2023-2026)'!$A:$A,0)),"ID inexistente")))</f>
        <v/>
      </c>
      <c r="K144" s="18" t="str">
        <f aca="false">IF(A144="","",IF(AND(ISNA(MATCH(A144,Propostas!$A:$A,0)),ISNA(MATCH(A144,'Lula 2022 (2023-2026)'!$A:$A,0))),"ID inexistente",IF(OR(F144="",NOT(ISNUMBER(E144))),"Sem fonte ou data",IF(NOT(AND(LEFT(G144,8)="https://",OR(ISNUMBER(SEARCH(".gov.br",G144)),ISNUMBER(SEARCH(".leg.br",G144)),ISNUMBER(SEARCH(".jus.br",G144)),ISNUMBER(SEARCH(".mp.br",G144))))),"Sem link oficial",IF(OR(NOT(ISNUMBER(C144)),NOT(ISNUMBER(D144)),D144&lt;0,D144&gt;C144),"Valor inválido","Verificável")))))</f>
        <v/>
      </c>
    </row>
    <row r="145" customFormat="false" ht="15" hidden="false" customHeight="true" outlineLevel="0" collapsed="false">
      <c r="A145" s="15"/>
      <c r="B145" s="15"/>
      <c r="C145" s="16"/>
      <c r="D145" s="16"/>
      <c r="E145" s="17"/>
      <c r="F145" s="15"/>
      <c r="G145" s="15"/>
      <c r="H145" s="15"/>
      <c r="I145" s="15"/>
      <c r="J145" s="18" t="str">
        <f aca="false">IF(A145="","",IFERROR(INDEX(Propostas!$B:$B,MATCH(A145,Propostas!$A:$A,0)),IFERROR(INDEX('Lula 2022 (2023-2026)'!$D:$D,MATCH(A145,'Lula 2022 (2023-2026)'!$A:$A,0)),"ID inexistente")))</f>
        <v/>
      </c>
      <c r="K145" s="18" t="str">
        <f aca="false">IF(A145="","",IF(AND(ISNA(MATCH(A145,Propostas!$A:$A,0)),ISNA(MATCH(A145,'Lula 2022 (2023-2026)'!$A:$A,0))),"ID inexistente",IF(OR(F145="",NOT(ISNUMBER(E145))),"Sem fonte ou data",IF(NOT(AND(LEFT(G145,8)="https://",OR(ISNUMBER(SEARCH(".gov.br",G145)),ISNUMBER(SEARCH(".leg.br",G145)),ISNUMBER(SEARCH(".jus.br",G145)),ISNUMBER(SEARCH(".mp.br",G145))))),"Sem link oficial",IF(OR(NOT(ISNUMBER(C145)),NOT(ISNUMBER(D145)),D145&lt;0,D145&gt;C145),"Valor inválido","Verificável")))))</f>
        <v/>
      </c>
    </row>
    <row r="146" customFormat="false" ht="15" hidden="false" customHeight="true" outlineLevel="0" collapsed="false">
      <c r="A146" s="15"/>
      <c r="B146" s="15"/>
      <c r="C146" s="16"/>
      <c r="D146" s="16"/>
      <c r="E146" s="17"/>
      <c r="F146" s="15"/>
      <c r="G146" s="15"/>
      <c r="H146" s="15"/>
      <c r="I146" s="15"/>
      <c r="J146" s="18" t="str">
        <f aca="false">IF(A146="","",IFERROR(INDEX(Propostas!$B:$B,MATCH(A146,Propostas!$A:$A,0)),IFERROR(INDEX('Lula 2022 (2023-2026)'!$D:$D,MATCH(A146,'Lula 2022 (2023-2026)'!$A:$A,0)),"ID inexistente")))</f>
        <v/>
      </c>
      <c r="K146" s="18" t="str">
        <f aca="false">IF(A146="","",IF(AND(ISNA(MATCH(A146,Propostas!$A:$A,0)),ISNA(MATCH(A146,'Lula 2022 (2023-2026)'!$A:$A,0))),"ID inexistente",IF(OR(F146="",NOT(ISNUMBER(E146))),"Sem fonte ou data",IF(NOT(AND(LEFT(G146,8)="https://",OR(ISNUMBER(SEARCH(".gov.br",G146)),ISNUMBER(SEARCH(".leg.br",G146)),ISNUMBER(SEARCH(".jus.br",G146)),ISNUMBER(SEARCH(".mp.br",G146))))),"Sem link oficial",IF(OR(NOT(ISNUMBER(C146)),NOT(ISNUMBER(D146)),D146&lt;0,D146&gt;C146),"Valor inválido","Verificável")))))</f>
        <v/>
      </c>
    </row>
    <row r="147" customFormat="false" ht="15" hidden="false" customHeight="true" outlineLevel="0" collapsed="false">
      <c r="A147" s="15"/>
      <c r="B147" s="15"/>
      <c r="C147" s="16"/>
      <c r="D147" s="16"/>
      <c r="E147" s="17"/>
      <c r="F147" s="15"/>
      <c r="G147" s="15"/>
      <c r="H147" s="15"/>
      <c r="I147" s="15"/>
      <c r="J147" s="18" t="str">
        <f aca="false">IF(A147="","",IFERROR(INDEX(Propostas!$B:$B,MATCH(A147,Propostas!$A:$A,0)),IFERROR(INDEX('Lula 2022 (2023-2026)'!$D:$D,MATCH(A147,'Lula 2022 (2023-2026)'!$A:$A,0)),"ID inexistente")))</f>
        <v/>
      </c>
      <c r="K147" s="18" t="str">
        <f aca="false">IF(A147="","",IF(AND(ISNA(MATCH(A147,Propostas!$A:$A,0)),ISNA(MATCH(A147,'Lula 2022 (2023-2026)'!$A:$A,0))),"ID inexistente",IF(OR(F147="",NOT(ISNUMBER(E147))),"Sem fonte ou data",IF(NOT(AND(LEFT(G147,8)="https://",OR(ISNUMBER(SEARCH(".gov.br",G147)),ISNUMBER(SEARCH(".leg.br",G147)),ISNUMBER(SEARCH(".jus.br",G147)),ISNUMBER(SEARCH(".mp.br",G147))))),"Sem link oficial",IF(OR(NOT(ISNUMBER(C147)),NOT(ISNUMBER(D147)),D147&lt;0,D147&gt;C147),"Valor inválido","Verificável")))))</f>
        <v/>
      </c>
    </row>
    <row r="148" customFormat="false" ht="15" hidden="false" customHeight="true" outlineLevel="0" collapsed="false">
      <c r="A148" s="15"/>
      <c r="B148" s="15"/>
      <c r="C148" s="16"/>
      <c r="D148" s="16"/>
      <c r="E148" s="17"/>
      <c r="F148" s="15"/>
      <c r="G148" s="15"/>
      <c r="H148" s="15"/>
      <c r="I148" s="15"/>
      <c r="J148" s="18" t="str">
        <f aca="false">IF(A148="","",IFERROR(INDEX(Propostas!$B:$B,MATCH(A148,Propostas!$A:$A,0)),IFERROR(INDEX('Lula 2022 (2023-2026)'!$D:$D,MATCH(A148,'Lula 2022 (2023-2026)'!$A:$A,0)),"ID inexistente")))</f>
        <v/>
      </c>
      <c r="K148" s="18" t="str">
        <f aca="false">IF(A148="","",IF(AND(ISNA(MATCH(A148,Propostas!$A:$A,0)),ISNA(MATCH(A148,'Lula 2022 (2023-2026)'!$A:$A,0))),"ID inexistente",IF(OR(F148="",NOT(ISNUMBER(E148))),"Sem fonte ou data",IF(NOT(AND(LEFT(G148,8)="https://",OR(ISNUMBER(SEARCH(".gov.br",G148)),ISNUMBER(SEARCH(".leg.br",G148)),ISNUMBER(SEARCH(".jus.br",G148)),ISNUMBER(SEARCH(".mp.br",G148))))),"Sem link oficial",IF(OR(NOT(ISNUMBER(C148)),NOT(ISNUMBER(D148)),D148&lt;0,D148&gt;C148),"Valor inválido","Verificável")))))</f>
        <v/>
      </c>
    </row>
    <row r="149" customFormat="false" ht="15" hidden="false" customHeight="true" outlineLevel="0" collapsed="false">
      <c r="A149" s="15"/>
      <c r="B149" s="15"/>
      <c r="C149" s="16"/>
      <c r="D149" s="16"/>
      <c r="E149" s="17"/>
      <c r="F149" s="15"/>
      <c r="G149" s="15"/>
      <c r="H149" s="15"/>
      <c r="I149" s="15"/>
      <c r="J149" s="18" t="str">
        <f aca="false">IF(A149="","",IFERROR(INDEX(Propostas!$B:$B,MATCH(A149,Propostas!$A:$A,0)),IFERROR(INDEX('Lula 2022 (2023-2026)'!$D:$D,MATCH(A149,'Lula 2022 (2023-2026)'!$A:$A,0)),"ID inexistente")))</f>
        <v/>
      </c>
      <c r="K149" s="18" t="str">
        <f aca="false">IF(A149="","",IF(AND(ISNA(MATCH(A149,Propostas!$A:$A,0)),ISNA(MATCH(A149,'Lula 2022 (2023-2026)'!$A:$A,0))),"ID inexistente",IF(OR(F149="",NOT(ISNUMBER(E149))),"Sem fonte ou data",IF(NOT(AND(LEFT(G149,8)="https://",OR(ISNUMBER(SEARCH(".gov.br",G149)),ISNUMBER(SEARCH(".leg.br",G149)),ISNUMBER(SEARCH(".jus.br",G149)),ISNUMBER(SEARCH(".mp.br",G149))))),"Sem link oficial",IF(OR(NOT(ISNUMBER(C149)),NOT(ISNUMBER(D149)),D149&lt;0,D149&gt;C149),"Valor inválido","Verificável")))))</f>
        <v/>
      </c>
    </row>
    <row r="150" customFormat="false" ht="15" hidden="false" customHeight="true" outlineLevel="0" collapsed="false">
      <c r="A150" s="15"/>
      <c r="B150" s="15"/>
      <c r="C150" s="16"/>
      <c r="D150" s="16"/>
      <c r="E150" s="17"/>
      <c r="F150" s="15"/>
      <c r="G150" s="15"/>
      <c r="H150" s="15"/>
      <c r="I150" s="15"/>
      <c r="J150" s="18" t="str">
        <f aca="false">IF(A150="","",IFERROR(INDEX(Propostas!$B:$B,MATCH(A150,Propostas!$A:$A,0)),IFERROR(INDEX('Lula 2022 (2023-2026)'!$D:$D,MATCH(A150,'Lula 2022 (2023-2026)'!$A:$A,0)),"ID inexistente")))</f>
        <v/>
      </c>
      <c r="K150" s="18" t="str">
        <f aca="false">IF(A150="","",IF(AND(ISNA(MATCH(A150,Propostas!$A:$A,0)),ISNA(MATCH(A150,'Lula 2022 (2023-2026)'!$A:$A,0))),"ID inexistente",IF(OR(F150="",NOT(ISNUMBER(E150))),"Sem fonte ou data",IF(NOT(AND(LEFT(G150,8)="https://",OR(ISNUMBER(SEARCH(".gov.br",G150)),ISNUMBER(SEARCH(".leg.br",G150)),ISNUMBER(SEARCH(".jus.br",G150)),ISNUMBER(SEARCH(".mp.br",G150))))),"Sem link oficial",IF(OR(NOT(ISNUMBER(C150)),NOT(ISNUMBER(D150)),D150&lt;0,D150&gt;C150),"Valor inválido","Verificável")))))</f>
        <v/>
      </c>
    </row>
    <row r="151" customFormat="false" ht="15" hidden="false" customHeight="true" outlineLevel="0" collapsed="false">
      <c r="A151" s="15"/>
      <c r="B151" s="15"/>
      <c r="C151" s="16"/>
      <c r="D151" s="16"/>
      <c r="E151" s="17"/>
      <c r="F151" s="15"/>
      <c r="G151" s="15"/>
      <c r="H151" s="15"/>
      <c r="I151" s="15"/>
      <c r="J151" s="18" t="str">
        <f aca="false">IF(A151="","",IFERROR(INDEX(Propostas!$B:$B,MATCH(A151,Propostas!$A:$A,0)),IFERROR(INDEX('Lula 2022 (2023-2026)'!$D:$D,MATCH(A151,'Lula 2022 (2023-2026)'!$A:$A,0)),"ID inexistente")))</f>
        <v/>
      </c>
      <c r="K151" s="18" t="str">
        <f aca="false">IF(A151="","",IF(AND(ISNA(MATCH(A151,Propostas!$A:$A,0)),ISNA(MATCH(A151,'Lula 2022 (2023-2026)'!$A:$A,0))),"ID inexistente",IF(OR(F151="",NOT(ISNUMBER(E151))),"Sem fonte ou data",IF(NOT(AND(LEFT(G151,8)="https://",OR(ISNUMBER(SEARCH(".gov.br",G151)),ISNUMBER(SEARCH(".leg.br",G151)),ISNUMBER(SEARCH(".jus.br",G151)),ISNUMBER(SEARCH(".mp.br",G151))))),"Sem link oficial",IF(OR(NOT(ISNUMBER(C151)),NOT(ISNUMBER(D151)),D151&lt;0,D151&gt;C151),"Valor inválido","Verificável")))))</f>
        <v/>
      </c>
    </row>
    <row r="152" customFormat="false" ht="15" hidden="false" customHeight="true" outlineLevel="0" collapsed="false">
      <c r="A152" s="15"/>
      <c r="B152" s="15"/>
      <c r="C152" s="16"/>
      <c r="D152" s="16"/>
      <c r="E152" s="17"/>
      <c r="F152" s="15"/>
      <c r="G152" s="15"/>
      <c r="H152" s="15"/>
      <c r="I152" s="15"/>
      <c r="J152" s="18" t="str">
        <f aca="false">IF(A152="","",IFERROR(INDEX(Propostas!$B:$B,MATCH(A152,Propostas!$A:$A,0)),IFERROR(INDEX('Lula 2022 (2023-2026)'!$D:$D,MATCH(A152,'Lula 2022 (2023-2026)'!$A:$A,0)),"ID inexistente")))</f>
        <v/>
      </c>
      <c r="K152" s="18" t="str">
        <f aca="false">IF(A152="","",IF(AND(ISNA(MATCH(A152,Propostas!$A:$A,0)),ISNA(MATCH(A152,'Lula 2022 (2023-2026)'!$A:$A,0))),"ID inexistente",IF(OR(F152="",NOT(ISNUMBER(E152))),"Sem fonte ou data",IF(NOT(AND(LEFT(G152,8)="https://",OR(ISNUMBER(SEARCH(".gov.br",G152)),ISNUMBER(SEARCH(".leg.br",G152)),ISNUMBER(SEARCH(".jus.br",G152)),ISNUMBER(SEARCH(".mp.br",G152))))),"Sem link oficial",IF(OR(NOT(ISNUMBER(C152)),NOT(ISNUMBER(D152)),D152&lt;0,D152&gt;C152),"Valor inválido","Verificável")))))</f>
        <v/>
      </c>
    </row>
    <row r="153" customFormat="false" ht="15" hidden="false" customHeight="true" outlineLevel="0" collapsed="false">
      <c r="A153" s="15"/>
      <c r="B153" s="15"/>
      <c r="C153" s="16"/>
      <c r="D153" s="16"/>
      <c r="E153" s="17"/>
      <c r="F153" s="15"/>
      <c r="G153" s="15"/>
      <c r="H153" s="15"/>
      <c r="I153" s="15"/>
      <c r="J153" s="18" t="str">
        <f aca="false">IF(A153="","",IFERROR(INDEX(Propostas!$B:$B,MATCH(A153,Propostas!$A:$A,0)),IFERROR(INDEX('Lula 2022 (2023-2026)'!$D:$D,MATCH(A153,'Lula 2022 (2023-2026)'!$A:$A,0)),"ID inexistente")))</f>
        <v/>
      </c>
      <c r="K153" s="18" t="str">
        <f aca="false">IF(A153="","",IF(AND(ISNA(MATCH(A153,Propostas!$A:$A,0)),ISNA(MATCH(A153,'Lula 2022 (2023-2026)'!$A:$A,0))),"ID inexistente",IF(OR(F153="",NOT(ISNUMBER(E153))),"Sem fonte ou data",IF(NOT(AND(LEFT(G153,8)="https://",OR(ISNUMBER(SEARCH(".gov.br",G153)),ISNUMBER(SEARCH(".leg.br",G153)),ISNUMBER(SEARCH(".jus.br",G153)),ISNUMBER(SEARCH(".mp.br",G153))))),"Sem link oficial",IF(OR(NOT(ISNUMBER(C153)),NOT(ISNUMBER(D153)),D153&lt;0,D153&gt;C153),"Valor inválido","Verificável")))))</f>
        <v/>
      </c>
    </row>
    <row r="154" customFormat="false" ht="15" hidden="false" customHeight="true" outlineLevel="0" collapsed="false">
      <c r="A154" s="15"/>
      <c r="B154" s="15"/>
      <c r="C154" s="16"/>
      <c r="D154" s="16"/>
      <c r="E154" s="17"/>
      <c r="F154" s="15"/>
      <c r="G154" s="15"/>
      <c r="H154" s="15"/>
      <c r="I154" s="15"/>
      <c r="J154" s="18" t="str">
        <f aca="false">IF(A154="","",IFERROR(INDEX(Propostas!$B:$B,MATCH(A154,Propostas!$A:$A,0)),IFERROR(INDEX('Lula 2022 (2023-2026)'!$D:$D,MATCH(A154,'Lula 2022 (2023-2026)'!$A:$A,0)),"ID inexistente")))</f>
        <v/>
      </c>
      <c r="K154" s="18" t="str">
        <f aca="false">IF(A154="","",IF(AND(ISNA(MATCH(A154,Propostas!$A:$A,0)),ISNA(MATCH(A154,'Lula 2022 (2023-2026)'!$A:$A,0))),"ID inexistente",IF(OR(F154="",NOT(ISNUMBER(E154))),"Sem fonte ou data",IF(NOT(AND(LEFT(G154,8)="https://",OR(ISNUMBER(SEARCH(".gov.br",G154)),ISNUMBER(SEARCH(".leg.br",G154)),ISNUMBER(SEARCH(".jus.br",G154)),ISNUMBER(SEARCH(".mp.br",G154))))),"Sem link oficial",IF(OR(NOT(ISNUMBER(C154)),NOT(ISNUMBER(D154)),D154&lt;0,D154&gt;C154),"Valor inválido","Verificável")))))</f>
        <v/>
      </c>
    </row>
    <row r="155" customFormat="false" ht="15" hidden="false" customHeight="true" outlineLevel="0" collapsed="false">
      <c r="A155" s="15"/>
      <c r="B155" s="15"/>
      <c r="C155" s="16"/>
      <c r="D155" s="16"/>
      <c r="E155" s="17"/>
      <c r="F155" s="15"/>
      <c r="G155" s="15"/>
      <c r="H155" s="15"/>
      <c r="I155" s="15"/>
      <c r="J155" s="18" t="str">
        <f aca="false">IF(A155="","",IFERROR(INDEX(Propostas!$B:$B,MATCH(A155,Propostas!$A:$A,0)),IFERROR(INDEX('Lula 2022 (2023-2026)'!$D:$D,MATCH(A155,'Lula 2022 (2023-2026)'!$A:$A,0)),"ID inexistente")))</f>
        <v/>
      </c>
      <c r="K155" s="18" t="str">
        <f aca="false">IF(A155="","",IF(AND(ISNA(MATCH(A155,Propostas!$A:$A,0)),ISNA(MATCH(A155,'Lula 2022 (2023-2026)'!$A:$A,0))),"ID inexistente",IF(OR(F155="",NOT(ISNUMBER(E155))),"Sem fonte ou data",IF(NOT(AND(LEFT(G155,8)="https://",OR(ISNUMBER(SEARCH(".gov.br",G155)),ISNUMBER(SEARCH(".leg.br",G155)),ISNUMBER(SEARCH(".jus.br",G155)),ISNUMBER(SEARCH(".mp.br",G155))))),"Sem link oficial",IF(OR(NOT(ISNUMBER(C155)),NOT(ISNUMBER(D155)),D155&lt;0,D155&gt;C155),"Valor inválido","Verificável")))))</f>
        <v/>
      </c>
    </row>
    <row r="156" customFormat="false" ht="15" hidden="false" customHeight="true" outlineLevel="0" collapsed="false">
      <c r="A156" s="15"/>
      <c r="B156" s="15"/>
      <c r="C156" s="16"/>
      <c r="D156" s="16"/>
      <c r="E156" s="17"/>
      <c r="F156" s="15"/>
      <c r="G156" s="15"/>
      <c r="H156" s="15"/>
      <c r="I156" s="15"/>
      <c r="J156" s="18" t="str">
        <f aca="false">IF(A156="","",IFERROR(INDEX(Propostas!$B:$B,MATCH(A156,Propostas!$A:$A,0)),IFERROR(INDEX('Lula 2022 (2023-2026)'!$D:$D,MATCH(A156,'Lula 2022 (2023-2026)'!$A:$A,0)),"ID inexistente")))</f>
        <v/>
      </c>
      <c r="K156" s="18" t="str">
        <f aca="false">IF(A156="","",IF(AND(ISNA(MATCH(A156,Propostas!$A:$A,0)),ISNA(MATCH(A156,'Lula 2022 (2023-2026)'!$A:$A,0))),"ID inexistente",IF(OR(F156="",NOT(ISNUMBER(E156))),"Sem fonte ou data",IF(NOT(AND(LEFT(G156,8)="https://",OR(ISNUMBER(SEARCH(".gov.br",G156)),ISNUMBER(SEARCH(".leg.br",G156)),ISNUMBER(SEARCH(".jus.br",G156)),ISNUMBER(SEARCH(".mp.br",G156))))),"Sem link oficial",IF(OR(NOT(ISNUMBER(C156)),NOT(ISNUMBER(D156)),D156&lt;0,D156&gt;C156),"Valor inválido","Verificável")))))</f>
        <v/>
      </c>
    </row>
    <row r="157" customFormat="false" ht="15" hidden="false" customHeight="true" outlineLevel="0" collapsed="false">
      <c r="A157" s="15"/>
      <c r="B157" s="15"/>
      <c r="C157" s="16"/>
      <c r="D157" s="16"/>
      <c r="E157" s="17"/>
      <c r="F157" s="15"/>
      <c r="G157" s="15"/>
      <c r="H157" s="15"/>
      <c r="I157" s="15"/>
      <c r="J157" s="18" t="str">
        <f aca="false">IF(A157="","",IFERROR(INDEX(Propostas!$B:$B,MATCH(A157,Propostas!$A:$A,0)),IFERROR(INDEX('Lula 2022 (2023-2026)'!$D:$D,MATCH(A157,'Lula 2022 (2023-2026)'!$A:$A,0)),"ID inexistente")))</f>
        <v/>
      </c>
      <c r="K157" s="18" t="str">
        <f aca="false">IF(A157="","",IF(AND(ISNA(MATCH(A157,Propostas!$A:$A,0)),ISNA(MATCH(A157,'Lula 2022 (2023-2026)'!$A:$A,0))),"ID inexistente",IF(OR(F157="",NOT(ISNUMBER(E157))),"Sem fonte ou data",IF(NOT(AND(LEFT(G157,8)="https://",OR(ISNUMBER(SEARCH(".gov.br",G157)),ISNUMBER(SEARCH(".leg.br",G157)),ISNUMBER(SEARCH(".jus.br",G157)),ISNUMBER(SEARCH(".mp.br",G157))))),"Sem link oficial",IF(OR(NOT(ISNUMBER(C157)),NOT(ISNUMBER(D157)),D157&lt;0,D157&gt;C157),"Valor inválido","Verificável")))))</f>
        <v/>
      </c>
    </row>
    <row r="158" customFormat="false" ht="15" hidden="false" customHeight="true" outlineLevel="0" collapsed="false">
      <c r="A158" s="15"/>
      <c r="B158" s="15"/>
      <c r="C158" s="16"/>
      <c r="D158" s="16"/>
      <c r="E158" s="17"/>
      <c r="F158" s="15"/>
      <c r="G158" s="15"/>
      <c r="H158" s="15"/>
      <c r="I158" s="15"/>
      <c r="J158" s="18" t="str">
        <f aca="false">IF(A158="","",IFERROR(INDEX(Propostas!$B:$B,MATCH(A158,Propostas!$A:$A,0)),IFERROR(INDEX('Lula 2022 (2023-2026)'!$D:$D,MATCH(A158,'Lula 2022 (2023-2026)'!$A:$A,0)),"ID inexistente")))</f>
        <v/>
      </c>
      <c r="K158" s="18" t="str">
        <f aca="false">IF(A158="","",IF(AND(ISNA(MATCH(A158,Propostas!$A:$A,0)),ISNA(MATCH(A158,'Lula 2022 (2023-2026)'!$A:$A,0))),"ID inexistente",IF(OR(F158="",NOT(ISNUMBER(E158))),"Sem fonte ou data",IF(NOT(AND(LEFT(G158,8)="https://",OR(ISNUMBER(SEARCH(".gov.br",G158)),ISNUMBER(SEARCH(".leg.br",G158)),ISNUMBER(SEARCH(".jus.br",G158)),ISNUMBER(SEARCH(".mp.br",G158))))),"Sem link oficial",IF(OR(NOT(ISNUMBER(C158)),NOT(ISNUMBER(D158)),D158&lt;0,D158&gt;C158),"Valor inválido","Verificável")))))</f>
        <v/>
      </c>
    </row>
    <row r="159" customFormat="false" ht="15" hidden="false" customHeight="true" outlineLevel="0" collapsed="false">
      <c r="A159" s="15"/>
      <c r="B159" s="15"/>
      <c r="C159" s="16"/>
      <c r="D159" s="16"/>
      <c r="E159" s="17"/>
      <c r="F159" s="15"/>
      <c r="G159" s="15"/>
      <c r="H159" s="15"/>
      <c r="I159" s="15"/>
      <c r="J159" s="18" t="str">
        <f aca="false">IF(A159="","",IFERROR(INDEX(Propostas!$B:$B,MATCH(A159,Propostas!$A:$A,0)),IFERROR(INDEX('Lula 2022 (2023-2026)'!$D:$D,MATCH(A159,'Lula 2022 (2023-2026)'!$A:$A,0)),"ID inexistente")))</f>
        <v/>
      </c>
      <c r="K159" s="18" t="str">
        <f aca="false">IF(A159="","",IF(AND(ISNA(MATCH(A159,Propostas!$A:$A,0)),ISNA(MATCH(A159,'Lula 2022 (2023-2026)'!$A:$A,0))),"ID inexistente",IF(OR(F159="",NOT(ISNUMBER(E159))),"Sem fonte ou data",IF(NOT(AND(LEFT(G159,8)="https://",OR(ISNUMBER(SEARCH(".gov.br",G159)),ISNUMBER(SEARCH(".leg.br",G159)),ISNUMBER(SEARCH(".jus.br",G159)),ISNUMBER(SEARCH(".mp.br",G159))))),"Sem link oficial",IF(OR(NOT(ISNUMBER(C159)),NOT(ISNUMBER(D159)),D159&lt;0,D159&gt;C159),"Valor inválido","Verificável")))))</f>
        <v/>
      </c>
    </row>
    <row r="160" customFormat="false" ht="15" hidden="false" customHeight="true" outlineLevel="0" collapsed="false">
      <c r="A160" s="15"/>
      <c r="B160" s="15"/>
      <c r="C160" s="16"/>
      <c r="D160" s="16"/>
      <c r="E160" s="17"/>
      <c r="F160" s="15"/>
      <c r="G160" s="15"/>
      <c r="H160" s="15"/>
      <c r="I160" s="15"/>
      <c r="J160" s="18" t="str">
        <f aca="false">IF(A160="","",IFERROR(INDEX(Propostas!$B:$B,MATCH(A160,Propostas!$A:$A,0)),IFERROR(INDEX('Lula 2022 (2023-2026)'!$D:$D,MATCH(A160,'Lula 2022 (2023-2026)'!$A:$A,0)),"ID inexistente")))</f>
        <v/>
      </c>
      <c r="K160" s="18" t="str">
        <f aca="false">IF(A160="","",IF(AND(ISNA(MATCH(A160,Propostas!$A:$A,0)),ISNA(MATCH(A160,'Lula 2022 (2023-2026)'!$A:$A,0))),"ID inexistente",IF(OR(F160="",NOT(ISNUMBER(E160))),"Sem fonte ou data",IF(NOT(AND(LEFT(G160,8)="https://",OR(ISNUMBER(SEARCH(".gov.br",G160)),ISNUMBER(SEARCH(".leg.br",G160)),ISNUMBER(SEARCH(".jus.br",G160)),ISNUMBER(SEARCH(".mp.br",G160))))),"Sem link oficial",IF(OR(NOT(ISNUMBER(C160)),NOT(ISNUMBER(D160)),D160&lt;0,D160&gt;C160),"Valor inválido","Verificável")))))</f>
        <v/>
      </c>
    </row>
    <row r="161" customFormat="false" ht="15" hidden="false" customHeight="true" outlineLevel="0" collapsed="false">
      <c r="A161" s="15"/>
      <c r="B161" s="15"/>
      <c r="C161" s="16"/>
      <c r="D161" s="16"/>
      <c r="E161" s="17"/>
      <c r="F161" s="15"/>
      <c r="G161" s="15"/>
      <c r="H161" s="15"/>
      <c r="I161" s="15"/>
      <c r="J161" s="18" t="str">
        <f aca="false">IF(A161="","",IFERROR(INDEX(Propostas!$B:$B,MATCH(A161,Propostas!$A:$A,0)),IFERROR(INDEX('Lula 2022 (2023-2026)'!$D:$D,MATCH(A161,'Lula 2022 (2023-2026)'!$A:$A,0)),"ID inexistente")))</f>
        <v/>
      </c>
      <c r="K161" s="18" t="str">
        <f aca="false">IF(A161="","",IF(AND(ISNA(MATCH(A161,Propostas!$A:$A,0)),ISNA(MATCH(A161,'Lula 2022 (2023-2026)'!$A:$A,0))),"ID inexistente",IF(OR(F161="",NOT(ISNUMBER(E161))),"Sem fonte ou data",IF(NOT(AND(LEFT(G161,8)="https://",OR(ISNUMBER(SEARCH(".gov.br",G161)),ISNUMBER(SEARCH(".leg.br",G161)),ISNUMBER(SEARCH(".jus.br",G161)),ISNUMBER(SEARCH(".mp.br",G161))))),"Sem link oficial",IF(OR(NOT(ISNUMBER(C161)),NOT(ISNUMBER(D161)),D161&lt;0,D161&gt;C161),"Valor inválido","Verificável")))))</f>
        <v/>
      </c>
    </row>
    <row r="162" customFormat="false" ht="15" hidden="false" customHeight="true" outlineLevel="0" collapsed="false">
      <c r="A162" s="15"/>
      <c r="B162" s="15"/>
      <c r="C162" s="16"/>
      <c r="D162" s="16"/>
      <c r="E162" s="17"/>
      <c r="F162" s="15"/>
      <c r="G162" s="15"/>
      <c r="H162" s="15"/>
      <c r="I162" s="15"/>
      <c r="J162" s="18" t="str">
        <f aca="false">IF(A162="","",IFERROR(INDEX(Propostas!$B:$B,MATCH(A162,Propostas!$A:$A,0)),IFERROR(INDEX('Lula 2022 (2023-2026)'!$D:$D,MATCH(A162,'Lula 2022 (2023-2026)'!$A:$A,0)),"ID inexistente")))</f>
        <v/>
      </c>
      <c r="K162" s="18" t="str">
        <f aca="false">IF(A162="","",IF(AND(ISNA(MATCH(A162,Propostas!$A:$A,0)),ISNA(MATCH(A162,'Lula 2022 (2023-2026)'!$A:$A,0))),"ID inexistente",IF(OR(F162="",NOT(ISNUMBER(E162))),"Sem fonte ou data",IF(NOT(AND(LEFT(G162,8)="https://",OR(ISNUMBER(SEARCH(".gov.br",G162)),ISNUMBER(SEARCH(".leg.br",G162)),ISNUMBER(SEARCH(".jus.br",G162)),ISNUMBER(SEARCH(".mp.br",G162))))),"Sem link oficial",IF(OR(NOT(ISNUMBER(C162)),NOT(ISNUMBER(D162)),D162&lt;0,D162&gt;C162),"Valor inválido","Verificável")))))</f>
        <v/>
      </c>
    </row>
    <row r="163" customFormat="false" ht="15" hidden="false" customHeight="true" outlineLevel="0" collapsed="false">
      <c r="A163" s="15"/>
      <c r="B163" s="15"/>
      <c r="C163" s="16"/>
      <c r="D163" s="16"/>
      <c r="E163" s="17"/>
      <c r="F163" s="15"/>
      <c r="G163" s="15"/>
      <c r="H163" s="15"/>
      <c r="I163" s="15"/>
      <c r="J163" s="18" t="str">
        <f aca="false">IF(A163="","",IFERROR(INDEX(Propostas!$B:$B,MATCH(A163,Propostas!$A:$A,0)),IFERROR(INDEX('Lula 2022 (2023-2026)'!$D:$D,MATCH(A163,'Lula 2022 (2023-2026)'!$A:$A,0)),"ID inexistente")))</f>
        <v/>
      </c>
      <c r="K163" s="18" t="str">
        <f aca="false">IF(A163="","",IF(AND(ISNA(MATCH(A163,Propostas!$A:$A,0)),ISNA(MATCH(A163,'Lula 2022 (2023-2026)'!$A:$A,0))),"ID inexistente",IF(OR(F163="",NOT(ISNUMBER(E163))),"Sem fonte ou data",IF(NOT(AND(LEFT(G163,8)="https://",OR(ISNUMBER(SEARCH(".gov.br",G163)),ISNUMBER(SEARCH(".leg.br",G163)),ISNUMBER(SEARCH(".jus.br",G163)),ISNUMBER(SEARCH(".mp.br",G163))))),"Sem link oficial",IF(OR(NOT(ISNUMBER(C163)),NOT(ISNUMBER(D163)),D163&lt;0,D163&gt;C163),"Valor inválido","Verificável")))))</f>
        <v/>
      </c>
    </row>
    <row r="164" customFormat="false" ht="15" hidden="false" customHeight="true" outlineLevel="0" collapsed="false">
      <c r="A164" s="15"/>
      <c r="B164" s="15"/>
      <c r="C164" s="16"/>
      <c r="D164" s="16"/>
      <c r="E164" s="17"/>
      <c r="F164" s="15"/>
      <c r="G164" s="15"/>
      <c r="H164" s="15"/>
      <c r="I164" s="15"/>
      <c r="J164" s="18" t="str">
        <f aca="false">IF(A164="","",IFERROR(INDEX(Propostas!$B:$B,MATCH(A164,Propostas!$A:$A,0)),IFERROR(INDEX('Lula 2022 (2023-2026)'!$D:$D,MATCH(A164,'Lula 2022 (2023-2026)'!$A:$A,0)),"ID inexistente")))</f>
        <v/>
      </c>
      <c r="K164" s="18" t="str">
        <f aca="false">IF(A164="","",IF(AND(ISNA(MATCH(A164,Propostas!$A:$A,0)),ISNA(MATCH(A164,'Lula 2022 (2023-2026)'!$A:$A,0))),"ID inexistente",IF(OR(F164="",NOT(ISNUMBER(E164))),"Sem fonte ou data",IF(NOT(AND(LEFT(G164,8)="https://",OR(ISNUMBER(SEARCH(".gov.br",G164)),ISNUMBER(SEARCH(".leg.br",G164)),ISNUMBER(SEARCH(".jus.br",G164)),ISNUMBER(SEARCH(".mp.br",G164))))),"Sem link oficial",IF(OR(NOT(ISNUMBER(C164)),NOT(ISNUMBER(D164)),D164&lt;0,D164&gt;C164),"Valor inválido","Verificável")))))</f>
        <v/>
      </c>
    </row>
    <row r="165" customFormat="false" ht="15" hidden="false" customHeight="true" outlineLevel="0" collapsed="false">
      <c r="A165" s="15"/>
      <c r="B165" s="15"/>
      <c r="C165" s="16"/>
      <c r="D165" s="16"/>
      <c r="E165" s="17"/>
      <c r="F165" s="15"/>
      <c r="G165" s="15"/>
      <c r="H165" s="15"/>
      <c r="I165" s="15"/>
      <c r="J165" s="18" t="str">
        <f aca="false">IF(A165="","",IFERROR(INDEX(Propostas!$B:$B,MATCH(A165,Propostas!$A:$A,0)),IFERROR(INDEX('Lula 2022 (2023-2026)'!$D:$D,MATCH(A165,'Lula 2022 (2023-2026)'!$A:$A,0)),"ID inexistente")))</f>
        <v/>
      </c>
      <c r="K165" s="18" t="str">
        <f aca="false">IF(A165="","",IF(AND(ISNA(MATCH(A165,Propostas!$A:$A,0)),ISNA(MATCH(A165,'Lula 2022 (2023-2026)'!$A:$A,0))),"ID inexistente",IF(OR(F165="",NOT(ISNUMBER(E165))),"Sem fonte ou data",IF(NOT(AND(LEFT(G165,8)="https://",OR(ISNUMBER(SEARCH(".gov.br",G165)),ISNUMBER(SEARCH(".leg.br",G165)),ISNUMBER(SEARCH(".jus.br",G165)),ISNUMBER(SEARCH(".mp.br",G165))))),"Sem link oficial",IF(OR(NOT(ISNUMBER(C165)),NOT(ISNUMBER(D165)),D165&lt;0,D165&gt;C165),"Valor inválido","Verificável")))))</f>
        <v/>
      </c>
    </row>
    <row r="166" customFormat="false" ht="15" hidden="false" customHeight="true" outlineLevel="0" collapsed="false">
      <c r="A166" s="15"/>
      <c r="B166" s="15"/>
      <c r="C166" s="16"/>
      <c r="D166" s="16"/>
      <c r="E166" s="17"/>
      <c r="F166" s="15"/>
      <c r="G166" s="15"/>
      <c r="H166" s="15"/>
      <c r="I166" s="15"/>
      <c r="J166" s="18" t="str">
        <f aca="false">IF(A166="","",IFERROR(INDEX(Propostas!$B:$B,MATCH(A166,Propostas!$A:$A,0)),IFERROR(INDEX('Lula 2022 (2023-2026)'!$D:$D,MATCH(A166,'Lula 2022 (2023-2026)'!$A:$A,0)),"ID inexistente")))</f>
        <v/>
      </c>
      <c r="K166" s="18" t="str">
        <f aca="false">IF(A166="","",IF(AND(ISNA(MATCH(A166,Propostas!$A:$A,0)),ISNA(MATCH(A166,'Lula 2022 (2023-2026)'!$A:$A,0))),"ID inexistente",IF(OR(F166="",NOT(ISNUMBER(E166))),"Sem fonte ou data",IF(NOT(AND(LEFT(G166,8)="https://",OR(ISNUMBER(SEARCH(".gov.br",G166)),ISNUMBER(SEARCH(".leg.br",G166)),ISNUMBER(SEARCH(".jus.br",G166)),ISNUMBER(SEARCH(".mp.br",G166))))),"Sem link oficial",IF(OR(NOT(ISNUMBER(C166)),NOT(ISNUMBER(D166)),D166&lt;0,D166&gt;C166),"Valor inválido","Verificável")))))</f>
        <v/>
      </c>
    </row>
    <row r="167" customFormat="false" ht="15" hidden="false" customHeight="true" outlineLevel="0" collapsed="false">
      <c r="A167" s="15"/>
      <c r="B167" s="15"/>
      <c r="C167" s="16"/>
      <c r="D167" s="16"/>
      <c r="E167" s="17"/>
      <c r="F167" s="15"/>
      <c r="G167" s="15"/>
      <c r="H167" s="15"/>
      <c r="I167" s="15"/>
      <c r="J167" s="18" t="str">
        <f aca="false">IF(A167="","",IFERROR(INDEX(Propostas!$B:$B,MATCH(A167,Propostas!$A:$A,0)),IFERROR(INDEX('Lula 2022 (2023-2026)'!$D:$D,MATCH(A167,'Lula 2022 (2023-2026)'!$A:$A,0)),"ID inexistente")))</f>
        <v/>
      </c>
      <c r="K167" s="18" t="str">
        <f aca="false">IF(A167="","",IF(AND(ISNA(MATCH(A167,Propostas!$A:$A,0)),ISNA(MATCH(A167,'Lula 2022 (2023-2026)'!$A:$A,0))),"ID inexistente",IF(OR(F167="",NOT(ISNUMBER(E167))),"Sem fonte ou data",IF(NOT(AND(LEFT(G167,8)="https://",OR(ISNUMBER(SEARCH(".gov.br",G167)),ISNUMBER(SEARCH(".leg.br",G167)),ISNUMBER(SEARCH(".jus.br",G167)),ISNUMBER(SEARCH(".mp.br",G167))))),"Sem link oficial",IF(OR(NOT(ISNUMBER(C167)),NOT(ISNUMBER(D167)),D167&lt;0,D167&gt;C167),"Valor inválido","Verificável")))))</f>
        <v/>
      </c>
    </row>
    <row r="168" customFormat="false" ht="15" hidden="false" customHeight="true" outlineLevel="0" collapsed="false">
      <c r="A168" s="15"/>
      <c r="B168" s="15"/>
      <c r="C168" s="16"/>
      <c r="D168" s="16"/>
      <c r="E168" s="17"/>
      <c r="F168" s="15"/>
      <c r="G168" s="15"/>
      <c r="H168" s="15"/>
      <c r="I168" s="15"/>
      <c r="J168" s="18" t="str">
        <f aca="false">IF(A168="","",IFERROR(INDEX(Propostas!$B:$B,MATCH(A168,Propostas!$A:$A,0)),IFERROR(INDEX('Lula 2022 (2023-2026)'!$D:$D,MATCH(A168,'Lula 2022 (2023-2026)'!$A:$A,0)),"ID inexistente")))</f>
        <v/>
      </c>
      <c r="K168" s="18" t="str">
        <f aca="false">IF(A168="","",IF(AND(ISNA(MATCH(A168,Propostas!$A:$A,0)),ISNA(MATCH(A168,'Lula 2022 (2023-2026)'!$A:$A,0))),"ID inexistente",IF(OR(F168="",NOT(ISNUMBER(E168))),"Sem fonte ou data",IF(NOT(AND(LEFT(G168,8)="https://",OR(ISNUMBER(SEARCH(".gov.br",G168)),ISNUMBER(SEARCH(".leg.br",G168)),ISNUMBER(SEARCH(".jus.br",G168)),ISNUMBER(SEARCH(".mp.br",G168))))),"Sem link oficial",IF(OR(NOT(ISNUMBER(C168)),NOT(ISNUMBER(D168)),D168&lt;0,D168&gt;C168),"Valor inválido","Verificável")))))</f>
        <v/>
      </c>
    </row>
    <row r="169" customFormat="false" ht="15" hidden="false" customHeight="true" outlineLevel="0" collapsed="false">
      <c r="A169" s="15"/>
      <c r="B169" s="15"/>
      <c r="C169" s="16"/>
      <c r="D169" s="16"/>
      <c r="E169" s="17"/>
      <c r="F169" s="15"/>
      <c r="G169" s="15"/>
      <c r="H169" s="15"/>
      <c r="I169" s="15"/>
      <c r="J169" s="18" t="str">
        <f aca="false">IF(A169="","",IFERROR(INDEX(Propostas!$B:$B,MATCH(A169,Propostas!$A:$A,0)),IFERROR(INDEX('Lula 2022 (2023-2026)'!$D:$D,MATCH(A169,'Lula 2022 (2023-2026)'!$A:$A,0)),"ID inexistente")))</f>
        <v/>
      </c>
      <c r="K169" s="18" t="str">
        <f aca="false">IF(A169="","",IF(AND(ISNA(MATCH(A169,Propostas!$A:$A,0)),ISNA(MATCH(A169,'Lula 2022 (2023-2026)'!$A:$A,0))),"ID inexistente",IF(OR(F169="",NOT(ISNUMBER(E169))),"Sem fonte ou data",IF(NOT(AND(LEFT(G169,8)="https://",OR(ISNUMBER(SEARCH(".gov.br",G169)),ISNUMBER(SEARCH(".leg.br",G169)),ISNUMBER(SEARCH(".jus.br",G169)),ISNUMBER(SEARCH(".mp.br",G169))))),"Sem link oficial",IF(OR(NOT(ISNUMBER(C169)),NOT(ISNUMBER(D169)),D169&lt;0,D169&gt;C169),"Valor inválido","Verificável")))))</f>
        <v/>
      </c>
    </row>
    <row r="170" customFormat="false" ht="15" hidden="false" customHeight="true" outlineLevel="0" collapsed="false">
      <c r="A170" s="15"/>
      <c r="B170" s="15"/>
      <c r="C170" s="16"/>
      <c r="D170" s="16"/>
      <c r="E170" s="17"/>
      <c r="F170" s="15"/>
      <c r="G170" s="15"/>
      <c r="H170" s="15"/>
      <c r="I170" s="15"/>
      <c r="J170" s="18" t="str">
        <f aca="false">IF(A170="","",IFERROR(INDEX(Propostas!$B:$B,MATCH(A170,Propostas!$A:$A,0)),IFERROR(INDEX('Lula 2022 (2023-2026)'!$D:$D,MATCH(A170,'Lula 2022 (2023-2026)'!$A:$A,0)),"ID inexistente")))</f>
        <v/>
      </c>
      <c r="K170" s="18" t="str">
        <f aca="false">IF(A170="","",IF(AND(ISNA(MATCH(A170,Propostas!$A:$A,0)),ISNA(MATCH(A170,'Lula 2022 (2023-2026)'!$A:$A,0))),"ID inexistente",IF(OR(F170="",NOT(ISNUMBER(E170))),"Sem fonte ou data",IF(NOT(AND(LEFT(G170,8)="https://",OR(ISNUMBER(SEARCH(".gov.br",G170)),ISNUMBER(SEARCH(".leg.br",G170)),ISNUMBER(SEARCH(".jus.br",G170)),ISNUMBER(SEARCH(".mp.br",G170))))),"Sem link oficial",IF(OR(NOT(ISNUMBER(C170)),NOT(ISNUMBER(D170)),D170&lt;0,D170&gt;C170),"Valor inválido","Verificável")))))</f>
        <v/>
      </c>
    </row>
    <row r="171" customFormat="false" ht="15" hidden="false" customHeight="true" outlineLevel="0" collapsed="false">
      <c r="A171" s="15"/>
      <c r="B171" s="15"/>
      <c r="C171" s="16"/>
      <c r="D171" s="16"/>
      <c r="E171" s="17"/>
      <c r="F171" s="15"/>
      <c r="G171" s="15"/>
      <c r="H171" s="15"/>
      <c r="I171" s="15"/>
      <c r="J171" s="18" t="str">
        <f aca="false">IF(A171="","",IFERROR(INDEX(Propostas!$B:$B,MATCH(A171,Propostas!$A:$A,0)),IFERROR(INDEX('Lula 2022 (2023-2026)'!$D:$D,MATCH(A171,'Lula 2022 (2023-2026)'!$A:$A,0)),"ID inexistente")))</f>
        <v/>
      </c>
      <c r="K171" s="18" t="str">
        <f aca="false">IF(A171="","",IF(AND(ISNA(MATCH(A171,Propostas!$A:$A,0)),ISNA(MATCH(A171,'Lula 2022 (2023-2026)'!$A:$A,0))),"ID inexistente",IF(OR(F171="",NOT(ISNUMBER(E171))),"Sem fonte ou data",IF(NOT(AND(LEFT(G171,8)="https://",OR(ISNUMBER(SEARCH(".gov.br",G171)),ISNUMBER(SEARCH(".leg.br",G171)),ISNUMBER(SEARCH(".jus.br",G171)),ISNUMBER(SEARCH(".mp.br",G171))))),"Sem link oficial",IF(OR(NOT(ISNUMBER(C171)),NOT(ISNUMBER(D171)),D171&lt;0,D171&gt;C171),"Valor inválido","Verificável")))))</f>
        <v/>
      </c>
    </row>
    <row r="172" customFormat="false" ht="15" hidden="false" customHeight="true" outlineLevel="0" collapsed="false">
      <c r="A172" s="15"/>
      <c r="B172" s="15"/>
      <c r="C172" s="16"/>
      <c r="D172" s="16"/>
      <c r="E172" s="17"/>
      <c r="F172" s="15"/>
      <c r="G172" s="15"/>
      <c r="H172" s="15"/>
      <c r="I172" s="15"/>
      <c r="J172" s="18" t="str">
        <f aca="false">IF(A172="","",IFERROR(INDEX(Propostas!$B:$B,MATCH(A172,Propostas!$A:$A,0)),IFERROR(INDEX('Lula 2022 (2023-2026)'!$D:$D,MATCH(A172,'Lula 2022 (2023-2026)'!$A:$A,0)),"ID inexistente")))</f>
        <v/>
      </c>
      <c r="K172" s="18" t="str">
        <f aca="false">IF(A172="","",IF(AND(ISNA(MATCH(A172,Propostas!$A:$A,0)),ISNA(MATCH(A172,'Lula 2022 (2023-2026)'!$A:$A,0))),"ID inexistente",IF(OR(F172="",NOT(ISNUMBER(E172))),"Sem fonte ou data",IF(NOT(AND(LEFT(G172,8)="https://",OR(ISNUMBER(SEARCH(".gov.br",G172)),ISNUMBER(SEARCH(".leg.br",G172)),ISNUMBER(SEARCH(".jus.br",G172)),ISNUMBER(SEARCH(".mp.br",G172))))),"Sem link oficial",IF(OR(NOT(ISNUMBER(C172)),NOT(ISNUMBER(D172)),D172&lt;0,D172&gt;C172),"Valor inválido","Verificável")))))</f>
        <v/>
      </c>
    </row>
    <row r="173" customFormat="false" ht="15" hidden="false" customHeight="true" outlineLevel="0" collapsed="false">
      <c r="A173" s="15"/>
      <c r="B173" s="15"/>
      <c r="C173" s="16"/>
      <c r="D173" s="16"/>
      <c r="E173" s="17"/>
      <c r="F173" s="15"/>
      <c r="G173" s="15"/>
      <c r="H173" s="15"/>
      <c r="I173" s="15"/>
      <c r="J173" s="18" t="str">
        <f aca="false">IF(A173="","",IFERROR(INDEX(Propostas!$B:$B,MATCH(A173,Propostas!$A:$A,0)),IFERROR(INDEX('Lula 2022 (2023-2026)'!$D:$D,MATCH(A173,'Lula 2022 (2023-2026)'!$A:$A,0)),"ID inexistente")))</f>
        <v/>
      </c>
      <c r="K173" s="18" t="str">
        <f aca="false">IF(A173="","",IF(AND(ISNA(MATCH(A173,Propostas!$A:$A,0)),ISNA(MATCH(A173,'Lula 2022 (2023-2026)'!$A:$A,0))),"ID inexistente",IF(OR(F173="",NOT(ISNUMBER(E173))),"Sem fonte ou data",IF(NOT(AND(LEFT(G173,8)="https://",OR(ISNUMBER(SEARCH(".gov.br",G173)),ISNUMBER(SEARCH(".leg.br",G173)),ISNUMBER(SEARCH(".jus.br",G173)),ISNUMBER(SEARCH(".mp.br",G173))))),"Sem link oficial",IF(OR(NOT(ISNUMBER(C173)),NOT(ISNUMBER(D173)),D173&lt;0,D173&gt;C173),"Valor inválido","Verificável")))))</f>
        <v/>
      </c>
    </row>
    <row r="174" customFormat="false" ht="15" hidden="false" customHeight="true" outlineLevel="0" collapsed="false">
      <c r="A174" s="15"/>
      <c r="B174" s="15"/>
      <c r="C174" s="16"/>
      <c r="D174" s="16"/>
      <c r="E174" s="17"/>
      <c r="F174" s="15"/>
      <c r="G174" s="15"/>
      <c r="H174" s="15"/>
      <c r="I174" s="15"/>
      <c r="J174" s="18" t="str">
        <f aca="false">IF(A174="","",IFERROR(INDEX(Propostas!$B:$B,MATCH(A174,Propostas!$A:$A,0)),IFERROR(INDEX('Lula 2022 (2023-2026)'!$D:$D,MATCH(A174,'Lula 2022 (2023-2026)'!$A:$A,0)),"ID inexistente")))</f>
        <v/>
      </c>
      <c r="K174" s="18" t="str">
        <f aca="false">IF(A174="","",IF(AND(ISNA(MATCH(A174,Propostas!$A:$A,0)),ISNA(MATCH(A174,'Lula 2022 (2023-2026)'!$A:$A,0))),"ID inexistente",IF(OR(F174="",NOT(ISNUMBER(E174))),"Sem fonte ou data",IF(NOT(AND(LEFT(G174,8)="https://",OR(ISNUMBER(SEARCH(".gov.br",G174)),ISNUMBER(SEARCH(".leg.br",G174)),ISNUMBER(SEARCH(".jus.br",G174)),ISNUMBER(SEARCH(".mp.br",G174))))),"Sem link oficial",IF(OR(NOT(ISNUMBER(C174)),NOT(ISNUMBER(D174)),D174&lt;0,D174&gt;C174),"Valor inválido","Verificável")))))</f>
        <v/>
      </c>
    </row>
    <row r="175" customFormat="false" ht="15" hidden="false" customHeight="true" outlineLevel="0" collapsed="false">
      <c r="A175" s="15"/>
      <c r="B175" s="15"/>
      <c r="C175" s="16"/>
      <c r="D175" s="16"/>
      <c r="E175" s="17"/>
      <c r="F175" s="15"/>
      <c r="G175" s="15"/>
      <c r="H175" s="15"/>
      <c r="I175" s="15"/>
      <c r="J175" s="18" t="str">
        <f aca="false">IF(A175="","",IFERROR(INDEX(Propostas!$B:$B,MATCH(A175,Propostas!$A:$A,0)),IFERROR(INDEX('Lula 2022 (2023-2026)'!$D:$D,MATCH(A175,'Lula 2022 (2023-2026)'!$A:$A,0)),"ID inexistente")))</f>
        <v/>
      </c>
      <c r="K175" s="18" t="str">
        <f aca="false">IF(A175="","",IF(AND(ISNA(MATCH(A175,Propostas!$A:$A,0)),ISNA(MATCH(A175,'Lula 2022 (2023-2026)'!$A:$A,0))),"ID inexistente",IF(OR(F175="",NOT(ISNUMBER(E175))),"Sem fonte ou data",IF(NOT(AND(LEFT(G175,8)="https://",OR(ISNUMBER(SEARCH(".gov.br",G175)),ISNUMBER(SEARCH(".leg.br",G175)),ISNUMBER(SEARCH(".jus.br",G175)),ISNUMBER(SEARCH(".mp.br",G175))))),"Sem link oficial",IF(OR(NOT(ISNUMBER(C175)),NOT(ISNUMBER(D175)),D175&lt;0,D175&gt;C175),"Valor inválido","Verificável")))))</f>
        <v/>
      </c>
    </row>
    <row r="176" customFormat="false" ht="15" hidden="false" customHeight="true" outlineLevel="0" collapsed="false">
      <c r="A176" s="15"/>
      <c r="B176" s="15"/>
      <c r="C176" s="16"/>
      <c r="D176" s="16"/>
      <c r="E176" s="17"/>
      <c r="F176" s="15"/>
      <c r="G176" s="15"/>
      <c r="H176" s="15"/>
      <c r="I176" s="15"/>
      <c r="J176" s="18" t="str">
        <f aca="false">IF(A176="","",IFERROR(INDEX(Propostas!$B:$B,MATCH(A176,Propostas!$A:$A,0)),IFERROR(INDEX('Lula 2022 (2023-2026)'!$D:$D,MATCH(A176,'Lula 2022 (2023-2026)'!$A:$A,0)),"ID inexistente")))</f>
        <v/>
      </c>
      <c r="K176" s="18" t="str">
        <f aca="false">IF(A176="","",IF(AND(ISNA(MATCH(A176,Propostas!$A:$A,0)),ISNA(MATCH(A176,'Lula 2022 (2023-2026)'!$A:$A,0))),"ID inexistente",IF(OR(F176="",NOT(ISNUMBER(E176))),"Sem fonte ou data",IF(NOT(AND(LEFT(G176,8)="https://",OR(ISNUMBER(SEARCH(".gov.br",G176)),ISNUMBER(SEARCH(".leg.br",G176)),ISNUMBER(SEARCH(".jus.br",G176)),ISNUMBER(SEARCH(".mp.br",G176))))),"Sem link oficial",IF(OR(NOT(ISNUMBER(C176)),NOT(ISNUMBER(D176)),D176&lt;0,D176&gt;C176),"Valor inválido","Verificável")))))</f>
        <v/>
      </c>
    </row>
    <row r="177" customFormat="false" ht="15" hidden="false" customHeight="true" outlineLevel="0" collapsed="false">
      <c r="A177" s="15"/>
      <c r="B177" s="15"/>
      <c r="C177" s="16"/>
      <c r="D177" s="16"/>
      <c r="E177" s="17"/>
      <c r="F177" s="15"/>
      <c r="G177" s="15"/>
      <c r="H177" s="15"/>
      <c r="I177" s="15"/>
      <c r="J177" s="18" t="str">
        <f aca="false">IF(A177="","",IFERROR(INDEX(Propostas!$B:$B,MATCH(A177,Propostas!$A:$A,0)),IFERROR(INDEX('Lula 2022 (2023-2026)'!$D:$D,MATCH(A177,'Lula 2022 (2023-2026)'!$A:$A,0)),"ID inexistente")))</f>
        <v/>
      </c>
      <c r="K177" s="18" t="str">
        <f aca="false">IF(A177="","",IF(AND(ISNA(MATCH(A177,Propostas!$A:$A,0)),ISNA(MATCH(A177,'Lula 2022 (2023-2026)'!$A:$A,0))),"ID inexistente",IF(OR(F177="",NOT(ISNUMBER(E177))),"Sem fonte ou data",IF(NOT(AND(LEFT(G177,8)="https://",OR(ISNUMBER(SEARCH(".gov.br",G177)),ISNUMBER(SEARCH(".leg.br",G177)),ISNUMBER(SEARCH(".jus.br",G177)),ISNUMBER(SEARCH(".mp.br",G177))))),"Sem link oficial",IF(OR(NOT(ISNUMBER(C177)),NOT(ISNUMBER(D177)),D177&lt;0,D177&gt;C177),"Valor inválido","Verificável")))))</f>
        <v/>
      </c>
    </row>
    <row r="178" customFormat="false" ht="15" hidden="false" customHeight="true" outlineLevel="0" collapsed="false">
      <c r="A178" s="15"/>
      <c r="B178" s="15"/>
      <c r="C178" s="16"/>
      <c r="D178" s="16"/>
      <c r="E178" s="17"/>
      <c r="F178" s="15"/>
      <c r="G178" s="15"/>
      <c r="H178" s="15"/>
      <c r="I178" s="15"/>
      <c r="J178" s="18" t="str">
        <f aca="false">IF(A178="","",IFERROR(INDEX(Propostas!$B:$B,MATCH(A178,Propostas!$A:$A,0)),IFERROR(INDEX('Lula 2022 (2023-2026)'!$D:$D,MATCH(A178,'Lula 2022 (2023-2026)'!$A:$A,0)),"ID inexistente")))</f>
        <v/>
      </c>
      <c r="K178" s="18" t="str">
        <f aca="false">IF(A178="","",IF(AND(ISNA(MATCH(A178,Propostas!$A:$A,0)),ISNA(MATCH(A178,'Lula 2022 (2023-2026)'!$A:$A,0))),"ID inexistente",IF(OR(F178="",NOT(ISNUMBER(E178))),"Sem fonte ou data",IF(NOT(AND(LEFT(G178,8)="https://",OR(ISNUMBER(SEARCH(".gov.br",G178)),ISNUMBER(SEARCH(".leg.br",G178)),ISNUMBER(SEARCH(".jus.br",G178)),ISNUMBER(SEARCH(".mp.br",G178))))),"Sem link oficial",IF(OR(NOT(ISNUMBER(C178)),NOT(ISNUMBER(D178)),D178&lt;0,D178&gt;C178),"Valor inválido","Verificável")))))</f>
        <v/>
      </c>
    </row>
    <row r="179" customFormat="false" ht="15" hidden="false" customHeight="true" outlineLevel="0" collapsed="false">
      <c r="A179" s="15"/>
      <c r="B179" s="15"/>
      <c r="C179" s="16"/>
      <c r="D179" s="16"/>
      <c r="E179" s="17"/>
      <c r="F179" s="15"/>
      <c r="G179" s="15"/>
      <c r="H179" s="15"/>
      <c r="I179" s="15"/>
      <c r="J179" s="18" t="str">
        <f aca="false">IF(A179="","",IFERROR(INDEX(Propostas!$B:$B,MATCH(A179,Propostas!$A:$A,0)),IFERROR(INDEX('Lula 2022 (2023-2026)'!$D:$D,MATCH(A179,'Lula 2022 (2023-2026)'!$A:$A,0)),"ID inexistente")))</f>
        <v/>
      </c>
      <c r="K179" s="18" t="str">
        <f aca="false">IF(A179="","",IF(AND(ISNA(MATCH(A179,Propostas!$A:$A,0)),ISNA(MATCH(A179,'Lula 2022 (2023-2026)'!$A:$A,0))),"ID inexistente",IF(OR(F179="",NOT(ISNUMBER(E179))),"Sem fonte ou data",IF(NOT(AND(LEFT(G179,8)="https://",OR(ISNUMBER(SEARCH(".gov.br",G179)),ISNUMBER(SEARCH(".leg.br",G179)),ISNUMBER(SEARCH(".jus.br",G179)),ISNUMBER(SEARCH(".mp.br",G179))))),"Sem link oficial",IF(OR(NOT(ISNUMBER(C179)),NOT(ISNUMBER(D179)),D179&lt;0,D179&gt;C179),"Valor inválido","Verificável")))))</f>
        <v/>
      </c>
    </row>
    <row r="180" customFormat="false" ht="15" hidden="false" customHeight="true" outlineLevel="0" collapsed="false">
      <c r="A180" s="15"/>
      <c r="B180" s="15"/>
      <c r="C180" s="16"/>
      <c r="D180" s="16"/>
      <c r="E180" s="17"/>
      <c r="F180" s="15"/>
      <c r="G180" s="15"/>
      <c r="H180" s="15"/>
      <c r="I180" s="15"/>
      <c r="J180" s="18" t="str">
        <f aca="false">IF(A180="","",IFERROR(INDEX(Propostas!$B:$B,MATCH(A180,Propostas!$A:$A,0)),IFERROR(INDEX('Lula 2022 (2023-2026)'!$D:$D,MATCH(A180,'Lula 2022 (2023-2026)'!$A:$A,0)),"ID inexistente")))</f>
        <v/>
      </c>
      <c r="K180" s="18" t="str">
        <f aca="false">IF(A180="","",IF(AND(ISNA(MATCH(A180,Propostas!$A:$A,0)),ISNA(MATCH(A180,'Lula 2022 (2023-2026)'!$A:$A,0))),"ID inexistente",IF(OR(F180="",NOT(ISNUMBER(E180))),"Sem fonte ou data",IF(NOT(AND(LEFT(G180,8)="https://",OR(ISNUMBER(SEARCH(".gov.br",G180)),ISNUMBER(SEARCH(".leg.br",G180)),ISNUMBER(SEARCH(".jus.br",G180)),ISNUMBER(SEARCH(".mp.br",G180))))),"Sem link oficial",IF(OR(NOT(ISNUMBER(C180)),NOT(ISNUMBER(D180)),D180&lt;0,D180&gt;C180),"Valor inválido","Verificável")))))</f>
        <v/>
      </c>
    </row>
    <row r="181" customFormat="false" ht="15" hidden="false" customHeight="true" outlineLevel="0" collapsed="false">
      <c r="A181" s="15"/>
      <c r="B181" s="15"/>
      <c r="C181" s="16"/>
      <c r="D181" s="16"/>
      <c r="E181" s="17"/>
      <c r="F181" s="15"/>
      <c r="G181" s="15"/>
      <c r="H181" s="15"/>
      <c r="I181" s="15"/>
      <c r="J181" s="18" t="str">
        <f aca="false">IF(A181="","",IFERROR(INDEX(Propostas!$B:$B,MATCH(A181,Propostas!$A:$A,0)),IFERROR(INDEX('Lula 2022 (2023-2026)'!$D:$D,MATCH(A181,'Lula 2022 (2023-2026)'!$A:$A,0)),"ID inexistente")))</f>
        <v/>
      </c>
      <c r="K181" s="18" t="str">
        <f aca="false">IF(A181="","",IF(AND(ISNA(MATCH(A181,Propostas!$A:$A,0)),ISNA(MATCH(A181,'Lula 2022 (2023-2026)'!$A:$A,0))),"ID inexistente",IF(OR(F181="",NOT(ISNUMBER(E181))),"Sem fonte ou data",IF(NOT(AND(LEFT(G181,8)="https://",OR(ISNUMBER(SEARCH(".gov.br",G181)),ISNUMBER(SEARCH(".leg.br",G181)),ISNUMBER(SEARCH(".jus.br",G181)),ISNUMBER(SEARCH(".mp.br",G181))))),"Sem link oficial",IF(OR(NOT(ISNUMBER(C181)),NOT(ISNUMBER(D181)),D181&lt;0,D181&gt;C181),"Valor inválido","Verificável")))))</f>
        <v/>
      </c>
    </row>
    <row r="182" customFormat="false" ht="15" hidden="false" customHeight="true" outlineLevel="0" collapsed="false">
      <c r="A182" s="15"/>
      <c r="B182" s="15"/>
      <c r="C182" s="16"/>
      <c r="D182" s="16"/>
      <c r="E182" s="17"/>
      <c r="F182" s="15"/>
      <c r="G182" s="15"/>
      <c r="H182" s="15"/>
      <c r="I182" s="15"/>
      <c r="J182" s="18" t="str">
        <f aca="false">IF(A182="","",IFERROR(INDEX(Propostas!$B:$B,MATCH(A182,Propostas!$A:$A,0)),IFERROR(INDEX('Lula 2022 (2023-2026)'!$D:$D,MATCH(A182,'Lula 2022 (2023-2026)'!$A:$A,0)),"ID inexistente")))</f>
        <v/>
      </c>
      <c r="K182" s="18" t="str">
        <f aca="false">IF(A182="","",IF(AND(ISNA(MATCH(A182,Propostas!$A:$A,0)),ISNA(MATCH(A182,'Lula 2022 (2023-2026)'!$A:$A,0))),"ID inexistente",IF(OR(F182="",NOT(ISNUMBER(E182))),"Sem fonte ou data",IF(NOT(AND(LEFT(G182,8)="https://",OR(ISNUMBER(SEARCH(".gov.br",G182)),ISNUMBER(SEARCH(".leg.br",G182)),ISNUMBER(SEARCH(".jus.br",G182)),ISNUMBER(SEARCH(".mp.br",G182))))),"Sem link oficial",IF(OR(NOT(ISNUMBER(C182)),NOT(ISNUMBER(D182)),D182&lt;0,D182&gt;C182),"Valor inválido","Verificável")))))</f>
        <v/>
      </c>
    </row>
    <row r="183" customFormat="false" ht="15" hidden="false" customHeight="true" outlineLevel="0" collapsed="false">
      <c r="A183" s="15"/>
      <c r="B183" s="15"/>
      <c r="C183" s="16"/>
      <c r="D183" s="16"/>
      <c r="E183" s="17"/>
      <c r="F183" s="15"/>
      <c r="G183" s="15"/>
      <c r="H183" s="15"/>
      <c r="I183" s="15"/>
      <c r="J183" s="18" t="str">
        <f aca="false">IF(A183="","",IFERROR(INDEX(Propostas!$B:$B,MATCH(A183,Propostas!$A:$A,0)),IFERROR(INDEX('Lula 2022 (2023-2026)'!$D:$D,MATCH(A183,'Lula 2022 (2023-2026)'!$A:$A,0)),"ID inexistente")))</f>
        <v/>
      </c>
      <c r="K183" s="18" t="str">
        <f aca="false">IF(A183="","",IF(AND(ISNA(MATCH(A183,Propostas!$A:$A,0)),ISNA(MATCH(A183,'Lula 2022 (2023-2026)'!$A:$A,0))),"ID inexistente",IF(OR(F183="",NOT(ISNUMBER(E183))),"Sem fonte ou data",IF(NOT(AND(LEFT(G183,8)="https://",OR(ISNUMBER(SEARCH(".gov.br",G183)),ISNUMBER(SEARCH(".leg.br",G183)),ISNUMBER(SEARCH(".jus.br",G183)),ISNUMBER(SEARCH(".mp.br",G183))))),"Sem link oficial",IF(OR(NOT(ISNUMBER(C183)),NOT(ISNUMBER(D183)),D183&lt;0,D183&gt;C183),"Valor inválido","Verificável")))))</f>
        <v/>
      </c>
    </row>
    <row r="184" customFormat="false" ht="15" hidden="false" customHeight="true" outlineLevel="0" collapsed="false">
      <c r="A184" s="15"/>
      <c r="B184" s="15"/>
      <c r="C184" s="16"/>
      <c r="D184" s="16"/>
      <c r="E184" s="17"/>
      <c r="F184" s="15"/>
      <c r="G184" s="15"/>
      <c r="H184" s="15"/>
      <c r="I184" s="15"/>
      <c r="J184" s="18" t="str">
        <f aca="false">IF(A184="","",IFERROR(INDEX(Propostas!$B:$B,MATCH(A184,Propostas!$A:$A,0)),IFERROR(INDEX('Lula 2022 (2023-2026)'!$D:$D,MATCH(A184,'Lula 2022 (2023-2026)'!$A:$A,0)),"ID inexistente")))</f>
        <v/>
      </c>
      <c r="K184" s="18" t="str">
        <f aca="false">IF(A184="","",IF(AND(ISNA(MATCH(A184,Propostas!$A:$A,0)),ISNA(MATCH(A184,'Lula 2022 (2023-2026)'!$A:$A,0))),"ID inexistente",IF(OR(F184="",NOT(ISNUMBER(E184))),"Sem fonte ou data",IF(NOT(AND(LEFT(G184,8)="https://",OR(ISNUMBER(SEARCH(".gov.br",G184)),ISNUMBER(SEARCH(".leg.br",G184)),ISNUMBER(SEARCH(".jus.br",G184)),ISNUMBER(SEARCH(".mp.br",G184))))),"Sem link oficial",IF(OR(NOT(ISNUMBER(C184)),NOT(ISNUMBER(D184)),D184&lt;0,D184&gt;C184),"Valor inválido","Verificável")))))</f>
        <v/>
      </c>
    </row>
    <row r="185" customFormat="false" ht="15" hidden="false" customHeight="true" outlineLevel="0" collapsed="false">
      <c r="A185" s="15"/>
      <c r="B185" s="15"/>
      <c r="C185" s="16"/>
      <c r="D185" s="16"/>
      <c r="E185" s="17"/>
      <c r="F185" s="15"/>
      <c r="G185" s="15"/>
      <c r="H185" s="15"/>
      <c r="I185" s="15"/>
      <c r="J185" s="18" t="str">
        <f aca="false">IF(A185="","",IFERROR(INDEX(Propostas!$B:$B,MATCH(A185,Propostas!$A:$A,0)),IFERROR(INDEX('Lula 2022 (2023-2026)'!$D:$D,MATCH(A185,'Lula 2022 (2023-2026)'!$A:$A,0)),"ID inexistente")))</f>
        <v/>
      </c>
      <c r="K185" s="18" t="str">
        <f aca="false">IF(A185="","",IF(AND(ISNA(MATCH(A185,Propostas!$A:$A,0)),ISNA(MATCH(A185,'Lula 2022 (2023-2026)'!$A:$A,0))),"ID inexistente",IF(OR(F185="",NOT(ISNUMBER(E185))),"Sem fonte ou data",IF(NOT(AND(LEFT(G185,8)="https://",OR(ISNUMBER(SEARCH(".gov.br",G185)),ISNUMBER(SEARCH(".leg.br",G185)),ISNUMBER(SEARCH(".jus.br",G185)),ISNUMBER(SEARCH(".mp.br",G185))))),"Sem link oficial",IF(OR(NOT(ISNUMBER(C185)),NOT(ISNUMBER(D185)),D185&lt;0,D185&gt;C185),"Valor inválido","Verificável")))))</f>
        <v/>
      </c>
    </row>
    <row r="186" customFormat="false" ht="15" hidden="false" customHeight="true" outlineLevel="0" collapsed="false">
      <c r="A186" s="15"/>
      <c r="B186" s="15"/>
      <c r="C186" s="16"/>
      <c r="D186" s="16"/>
      <c r="E186" s="17"/>
      <c r="F186" s="15"/>
      <c r="G186" s="15"/>
      <c r="H186" s="15"/>
      <c r="I186" s="15"/>
      <c r="J186" s="18" t="str">
        <f aca="false">IF(A186="","",IFERROR(INDEX(Propostas!$B:$B,MATCH(A186,Propostas!$A:$A,0)),IFERROR(INDEX('Lula 2022 (2023-2026)'!$D:$D,MATCH(A186,'Lula 2022 (2023-2026)'!$A:$A,0)),"ID inexistente")))</f>
        <v/>
      </c>
      <c r="K186" s="18" t="str">
        <f aca="false">IF(A186="","",IF(AND(ISNA(MATCH(A186,Propostas!$A:$A,0)),ISNA(MATCH(A186,'Lula 2022 (2023-2026)'!$A:$A,0))),"ID inexistente",IF(OR(F186="",NOT(ISNUMBER(E186))),"Sem fonte ou data",IF(NOT(AND(LEFT(G186,8)="https://",OR(ISNUMBER(SEARCH(".gov.br",G186)),ISNUMBER(SEARCH(".leg.br",G186)),ISNUMBER(SEARCH(".jus.br",G186)),ISNUMBER(SEARCH(".mp.br",G186))))),"Sem link oficial",IF(OR(NOT(ISNUMBER(C186)),NOT(ISNUMBER(D186)),D186&lt;0,D186&gt;C186),"Valor inválido","Verificável")))))</f>
        <v/>
      </c>
    </row>
    <row r="187" customFormat="false" ht="15" hidden="false" customHeight="true" outlineLevel="0" collapsed="false">
      <c r="A187" s="15"/>
      <c r="B187" s="15"/>
      <c r="C187" s="16"/>
      <c r="D187" s="16"/>
      <c r="E187" s="17"/>
      <c r="F187" s="15"/>
      <c r="G187" s="15"/>
      <c r="H187" s="15"/>
      <c r="I187" s="15"/>
      <c r="J187" s="18" t="str">
        <f aca="false">IF(A187="","",IFERROR(INDEX(Propostas!$B:$B,MATCH(A187,Propostas!$A:$A,0)),IFERROR(INDEX('Lula 2022 (2023-2026)'!$D:$D,MATCH(A187,'Lula 2022 (2023-2026)'!$A:$A,0)),"ID inexistente")))</f>
        <v/>
      </c>
      <c r="K187" s="18" t="str">
        <f aca="false">IF(A187="","",IF(AND(ISNA(MATCH(A187,Propostas!$A:$A,0)),ISNA(MATCH(A187,'Lula 2022 (2023-2026)'!$A:$A,0))),"ID inexistente",IF(OR(F187="",NOT(ISNUMBER(E187))),"Sem fonte ou data",IF(NOT(AND(LEFT(G187,8)="https://",OR(ISNUMBER(SEARCH(".gov.br",G187)),ISNUMBER(SEARCH(".leg.br",G187)),ISNUMBER(SEARCH(".jus.br",G187)),ISNUMBER(SEARCH(".mp.br",G187))))),"Sem link oficial",IF(OR(NOT(ISNUMBER(C187)),NOT(ISNUMBER(D187)),D187&lt;0,D187&gt;C187),"Valor inválido","Verificável")))))</f>
        <v/>
      </c>
    </row>
    <row r="188" customFormat="false" ht="15" hidden="false" customHeight="true" outlineLevel="0" collapsed="false">
      <c r="A188" s="15"/>
      <c r="B188" s="15"/>
      <c r="C188" s="16"/>
      <c r="D188" s="16"/>
      <c r="E188" s="17"/>
      <c r="F188" s="15"/>
      <c r="G188" s="15"/>
      <c r="H188" s="15"/>
      <c r="I188" s="15"/>
      <c r="J188" s="18" t="str">
        <f aca="false">IF(A188="","",IFERROR(INDEX(Propostas!$B:$B,MATCH(A188,Propostas!$A:$A,0)),IFERROR(INDEX('Lula 2022 (2023-2026)'!$D:$D,MATCH(A188,'Lula 2022 (2023-2026)'!$A:$A,0)),"ID inexistente")))</f>
        <v/>
      </c>
      <c r="K188" s="18" t="str">
        <f aca="false">IF(A188="","",IF(AND(ISNA(MATCH(A188,Propostas!$A:$A,0)),ISNA(MATCH(A188,'Lula 2022 (2023-2026)'!$A:$A,0))),"ID inexistente",IF(OR(F188="",NOT(ISNUMBER(E188))),"Sem fonte ou data",IF(NOT(AND(LEFT(G188,8)="https://",OR(ISNUMBER(SEARCH(".gov.br",G188)),ISNUMBER(SEARCH(".leg.br",G188)),ISNUMBER(SEARCH(".jus.br",G188)),ISNUMBER(SEARCH(".mp.br",G188))))),"Sem link oficial",IF(OR(NOT(ISNUMBER(C188)),NOT(ISNUMBER(D188)),D188&lt;0,D188&gt;C188),"Valor inválido","Verificável")))))</f>
        <v/>
      </c>
    </row>
    <row r="189" customFormat="false" ht="15" hidden="false" customHeight="true" outlineLevel="0" collapsed="false">
      <c r="A189" s="15"/>
      <c r="B189" s="15"/>
      <c r="C189" s="16"/>
      <c r="D189" s="16"/>
      <c r="E189" s="17"/>
      <c r="F189" s="15"/>
      <c r="G189" s="15"/>
      <c r="H189" s="15"/>
      <c r="I189" s="15"/>
      <c r="J189" s="18" t="str">
        <f aca="false">IF(A189="","",IFERROR(INDEX(Propostas!$B:$B,MATCH(A189,Propostas!$A:$A,0)),IFERROR(INDEX('Lula 2022 (2023-2026)'!$D:$D,MATCH(A189,'Lula 2022 (2023-2026)'!$A:$A,0)),"ID inexistente")))</f>
        <v/>
      </c>
      <c r="K189" s="18" t="str">
        <f aca="false">IF(A189="","",IF(AND(ISNA(MATCH(A189,Propostas!$A:$A,0)),ISNA(MATCH(A189,'Lula 2022 (2023-2026)'!$A:$A,0))),"ID inexistente",IF(OR(F189="",NOT(ISNUMBER(E189))),"Sem fonte ou data",IF(NOT(AND(LEFT(G189,8)="https://",OR(ISNUMBER(SEARCH(".gov.br",G189)),ISNUMBER(SEARCH(".leg.br",G189)),ISNUMBER(SEARCH(".jus.br",G189)),ISNUMBER(SEARCH(".mp.br",G189))))),"Sem link oficial",IF(OR(NOT(ISNUMBER(C189)),NOT(ISNUMBER(D189)),D189&lt;0,D189&gt;C189),"Valor inválido","Verificável")))))</f>
        <v/>
      </c>
    </row>
    <row r="190" customFormat="false" ht="15" hidden="false" customHeight="true" outlineLevel="0" collapsed="false">
      <c r="A190" s="15"/>
      <c r="B190" s="15"/>
      <c r="C190" s="16"/>
      <c r="D190" s="16"/>
      <c r="E190" s="17"/>
      <c r="F190" s="15"/>
      <c r="G190" s="15"/>
      <c r="H190" s="15"/>
      <c r="I190" s="15"/>
      <c r="J190" s="18" t="str">
        <f aca="false">IF(A190="","",IFERROR(INDEX(Propostas!$B:$B,MATCH(A190,Propostas!$A:$A,0)),IFERROR(INDEX('Lula 2022 (2023-2026)'!$D:$D,MATCH(A190,'Lula 2022 (2023-2026)'!$A:$A,0)),"ID inexistente")))</f>
        <v/>
      </c>
      <c r="K190" s="18" t="str">
        <f aca="false">IF(A190="","",IF(AND(ISNA(MATCH(A190,Propostas!$A:$A,0)),ISNA(MATCH(A190,'Lula 2022 (2023-2026)'!$A:$A,0))),"ID inexistente",IF(OR(F190="",NOT(ISNUMBER(E190))),"Sem fonte ou data",IF(NOT(AND(LEFT(G190,8)="https://",OR(ISNUMBER(SEARCH(".gov.br",G190)),ISNUMBER(SEARCH(".leg.br",G190)),ISNUMBER(SEARCH(".jus.br",G190)),ISNUMBER(SEARCH(".mp.br",G190))))),"Sem link oficial",IF(OR(NOT(ISNUMBER(C190)),NOT(ISNUMBER(D190)),D190&lt;0,D190&gt;C190),"Valor inválido","Verificável")))))</f>
        <v/>
      </c>
    </row>
    <row r="191" customFormat="false" ht="15" hidden="false" customHeight="true" outlineLevel="0" collapsed="false">
      <c r="A191" s="15"/>
      <c r="B191" s="15"/>
      <c r="C191" s="16"/>
      <c r="D191" s="16"/>
      <c r="E191" s="17"/>
      <c r="F191" s="15"/>
      <c r="G191" s="15"/>
      <c r="H191" s="15"/>
      <c r="I191" s="15"/>
      <c r="J191" s="18" t="str">
        <f aca="false">IF(A191="","",IFERROR(INDEX(Propostas!$B:$B,MATCH(A191,Propostas!$A:$A,0)),IFERROR(INDEX('Lula 2022 (2023-2026)'!$D:$D,MATCH(A191,'Lula 2022 (2023-2026)'!$A:$A,0)),"ID inexistente")))</f>
        <v/>
      </c>
      <c r="K191" s="18" t="str">
        <f aca="false">IF(A191="","",IF(AND(ISNA(MATCH(A191,Propostas!$A:$A,0)),ISNA(MATCH(A191,'Lula 2022 (2023-2026)'!$A:$A,0))),"ID inexistente",IF(OR(F191="",NOT(ISNUMBER(E191))),"Sem fonte ou data",IF(NOT(AND(LEFT(G191,8)="https://",OR(ISNUMBER(SEARCH(".gov.br",G191)),ISNUMBER(SEARCH(".leg.br",G191)),ISNUMBER(SEARCH(".jus.br",G191)),ISNUMBER(SEARCH(".mp.br",G191))))),"Sem link oficial",IF(OR(NOT(ISNUMBER(C191)),NOT(ISNUMBER(D191)),D191&lt;0,D191&gt;C191),"Valor inválido","Verificável")))))</f>
        <v/>
      </c>
    </row>
    <row r="192" customFormat="false" ht="15" hidden="false" customHeight="true" outlineLevel="0" collapsed="false">
      <c r="A192" s="15"/>
      <c r="B192" s="15"/>
      <c r="C192" s="16"/>
      <c r="D192" s="16"/>
      <c r="E192" s="17"/>
      <c r="F192" s="15"/>
      <c r="G192" s="15"/>
      <c r="H192" s="15"/>
      <c r="I192" s="15"/>
      <c r="J192" s="18" t="str">
        <f aca="false">IF(A192="","",IFERROR(INDEX(Propostas!$B:$B,MATCH(A192,Propostas!$A:$A,0)),IFERROR(INDEX('Lula 2022 (2023-2026)'!$D:$D,MATCH(A192,'Lula 2022 (2023-2026)'!$A:$A,0)),"ID inexistente")))</f>
        <v/>
      </c>
      <c r="K192" s="18" t="str">
        <f aca="false">IF(A192="","",IF(AND(ISNA(MATCH(A192,Propostas!$A:$A,0)),ISNA(MATCH(A192,'Lula 2022 (2023-2026)'!$A:$A,0))),"ID inexistente",IF(OR(F192="",NOT(ISNUMBER(E192))),"Sem fonte ou data",IF(NOT(AND(LEFT(G192,8)="https://",OR(ISNUMBER(SEARCH(".gov.br",G192)),ISNUMBER(SEARCH(".leg.br",G192)),ISNUMBER(SEARCH(".jus.br",G192)),ISNUMBER(SEARCH(".mp.br",G192))))),"Sem link oficial",IF(OR(NOT(ISNUMBER(C192)),NOT(ISNUMBER(D192)),D192&lt;0,D192&gt;C192),"Valor inválido","Verificável")))))</f>
        <v/>
      </c>
    </row>
    <row r="193" customFormat="false" ht="15" hidden="false" customHeight="true" outlineLevel="0" collapsed="false">
      <c r="A193" s="15"/>
      <c r="B193" s="15"/>
      <c r="C193" s="16"/>
      <c r="D193" s="16"/>
      <c r="E193" s="17"/>
      <c r="F193" s="15"/>
      <c r="G193" s="15"/>
      <c r="H193" s="15"/>
      <c r="I193" s="15"/>
      <c r="J193" s="18" t="str">
        <f aca="false">IF(A193="","",IFERROR(INDEX(Propostas!$B:$B,MATCH(A193,Propostas!$A:$A,0)),IFERROR(INDEX('Lula 2022 (2023-2026)'!$D:$D,MATCH(A193,'Lula 2022 (2023-2026)'!$A:$A,0)),"ID inexistente")))</f>
        <v/>
      </c>
      <c r="K193" s="18" t="str">
        <f aca="false">IF(A193="","",IF(AND(ISNA(MATCH(A193,Propostas!$A:$A,0)),ISNA(MATCH(A193,'Lula 2022 (2023-2026)'!$A:$A,0))),"ID inexistente",IF(OR(F193="",NOT(ISNUMBER(E193))),"Sem fonte ou data",IF(NOT(AND(LEFT(G193,8)="https://",OR(ISNUMBER(SEARCH(".gov.br",G193)),ISNUMBER(SEARCH(".leg.br",G193)),ISNUMBER(SEARCH(".jus.br",G193)),ISNUMBER(SEARCH(".mp.br",G193))))),"Sem link oficial",IF(OR(NOT(ISNUMBER(C193)),NOT(ISNUMBER(D193)),D193&lt;0,D193&gt;C193),"Valor inválido","Verificável")))))</f>
        <v/>
      </c>
    </row>
    <row r="194" customFormat="false" ht="15" hidden="false" customHeight="true" outlineLevel="0" collapsed="false">
      <c r="A194" s="15"/>
      <c r="B194" s="15"/>
      <c r="C194" s="16"/>
      <c r="D194" s="16"/>
      <c r="E194" s="17"/>
      <c r="F194" s="15"/>
      <c r="G194" s="15"/>
      <c r="H194" s="15"/>
      <c r="I194" s="15"/>
      <c r="J194" s="18" t="str">
        <f aca="false">IF(A194="","",IFERROR(INDEX(Propostas!$B:$B,MATCH(A194,Propostas!$A:$A,0)),IFERROR(INDEX('Lula 2022 (2023-2026)'!$D:$D,MATCH(A194,'Lula 2022 (2023-2026)'!$A:$A,0)),"ID inexistente")))</f>
        <v/>
      </c>
      <c r="K194" s="18" t="str">
        <f aca="false">IF(A194="","",IF(AND(ISNA(MATCH(A194,Propostas!$A:$A,0)),ISNA(MATCH(A194,'Lula 2022 (2023-2026)'!$A:$A,0))),"ID inexistente",IF(OR(F194="",NOT(ISNUMBER(E194))),"Sem fonte ou data",IF(NOT(AND(LEFT(G194,8)="https://",OR(ISNUMBER(SEARCH(".gov.br",G194)),ISNUMBER(SEARCH(".leg.br",G194)),ISNUMBER(SEARCH(".jus.br",G194)),ISNUMBER(SEARCH(".mp.br",G194))))),"Sem link oficial",IF(OR(NOT(ISNUMBER(C194)),NOT(ISNUMBER(D194)),D194&lt;0,D194&gt;C194),"Valor inválido","Verificável")))))</f>
        <v/>
      </c>
    </row>
    <row r="195" customFormat="false" ht="15" hidden="false" customHeight="true" outlineLevel="0" collapsed="false">
      <c r="A195" s="15"/>
      <c r="B195" s="15"/>
      <c r="C195" s="16"/>
      <c r="D195" s="16"/>
      <c r="E195" s="17"/>
      <c r="F195" s="15"/>
      <c r="G195" s="15"/>
      <c r="H195" s="15"/>
      <c r="I195" s="15"/>
      <c r="J195" s="18" t="str">
        <f aca="false">IF(A195="","",IFERROR(INDEX(Propostas!$B:$B,MATCH(A195,Propostas!$A:$A,0)),IFERROR(INDEX('Lula 2022 (2023-2026)'!$D:$D,MATCH(A195,'Lula 2022 (2023-2026)'!$A:$A,0)),"ID inexistente")))</f>
        <v/>
      </c>
      <c r="K195" s="18" t="str">
        <f aca="false">IF(A195="","",IF(AND(ISNA(MATCH(A195,Propostas!$A:$A,0)),ISNA(MATCH(A195,'Lula 2022 (2023-2026)'!$A:$A,0))),"ID inexistente",IF(OR(F195="",NOT(ISNUMBER(E195))),"Sem fonte ou data",IF(NOT(AND(LEFT(G195,8)="https://",OR(ISNUMBER(SEARCH(".gov.br",G195)),ISNUMBER(SEARCH(".leg.br",G195)),ISNUMBER(SEARCH(".jus.br",G195)),ISNUMBER(SEARCH(".mp.br",G195))))),"Sem link oficial",IF(OR(NOT(ISNUMBER(C195)),NOT(ISNUMBER(D195)),D195&lt;0,D195&gt;C195),"Valor inválido","Verificável")))))</f>
        <v/>
      </c>
    </row>
    <row r="196" customFormat="false" ht="15" hidden="false" customHeight="true" outlineLevel="0" collapsed="false">
      <c r="A196" s="15"/>
      <c r="B196" s="15"/>
      <c r="C196" s="16"/>
      <c r="D196" s="16"/>
      <c r="E196" s="17"/>
      <c r="F196" s="15"/>
      <c r="G196" s="15"/>
      <c r="H196" s="15"/>
      <c r="I196" s="15"/>
      <c r="J196" s="18" t="str">
        <f aca="false">IF(A196="","",IFERROR(INDEX(Propostas!$B:$B,MATCH(A196,Propostas!$A:$A,0)),IFERROR(INDEX('Lula 2022 (2023-2026)'!$D:$D,MATCH(A196,'Lula 2022 (2023-2026)'!$A:$A,0)),"ID inexistente")))</f>
        <v/>
      </c>
      <c r="K196" s="18" t="str">
        <f aca="false">IF(A196="","",IF(AND(ISNA(MATCH(A196,Propostas!$A:$A,0)),ISNA(MATCH(A196,'Lula 2022 (2023-2026)'!$A:$A,0))),"ID inexistente",IF(OR(F196="",NOT(ISNUMBER(E196))),"Sem fonte ou data",IF(NOT(AND(LEFT(G196,8)="https://",OR(ISNUMBER(SEARCH(".gov.br",G196)),ISNUMBER(SEARCH(".leg.br",G196)),ISNUMBER(SEARCH(".jus.br",G196)),ISNUMBER(SEARCH(".mp.br",G196))))),"Sem link oficial",IF(OR(NOT(ISNUMBER(C196)),NOT(ISNUMBER(D196)),D196&lt;0,D196&gt;C196),"Valor inválido","Verificável")))))</f>
        <v/>
      </c>
    </row>
    <row r="197" customFormat="false" ht="15" hidden="false" customHeight="true" outlineLevel="0" collapsed="false">
      <c r="A197" s="15"/>
      <c r="B197" s="15"/>
      <c r="C197" s="16"/>
      <c r="D197" s="16"/>
      <c r="E197" s="17"/>
      <c r="F197" s="15"/>
      <c r="G197" s="15"/>
      <c r="H197" s="15"/>
      <c r="I197" s="15"/>
      <c r="J197" s="18" t="str">
        <f aca="false">IF(A197="","",IFERROR(INDEX(Propostas!$B:$B,MATCH(A197,Propostas!$A:$A,0)),IFERROR(INDEX('Lula 2022 (2023-2026)'!$D:$D,MATCH(A197,'Lula 2022 (2023-2026)'!$A:$A,0)),"ID inexistente")))</f>
        <v/>
      </c>
      <c r="K197" s="18" t="str">
        <f aca="false">IF(A197="","",IF(AND(ISNA(MATCH(A197,Propostas!$A:$A,0)),ISNA(MATCH(A197,'Lula 2022 (2023-2026)'!$A:$A,0))),"ID inexistente",IF(OR(F197="",NOT(ISNUMBER(E197))),"Sem fonte ou data",IF(NOT(AND(LEFT(G197,8)="https://",OR(ISNUMBER(SEARCH(".gov.br",G197)),ISNUMBER(SEARCH(".leg.br",G197)),ISNUMBER(SEARCH(".jus.br",G197)),ISNUMBER(SEARCH(".mp.br",G197))))),"Sem link oficial",IF(OR(NOT(ISNUMBER(C197)),NOT(ISNUMBER(D197)),D197&lt;0,D197&gt;C197),"Valor inválido","Verificável")))))</f>
        <v/>
      </c>
    </row>
    <row r="198" customFormat="false" ht="15" hidden="false" customHeight="true" outlineLevel="0" collapsed="false">
      <c r="A198" s="15"/>
      <c r="B198" s="15"/>
      <c r="C198" s="16"/>
      <c r="D198" s="16"/>
      <c r="E198" s="17"/>
      <c r="F198" s="15"/>
      <c r="G198" s="15"/>
      <c r="H198" s="15"/>
      <c r="I198" s="15"/>
      <c r="J198" s="18" t="str">
        <f aca="false">IF(A198="","",IFERROR(INDEX(Propostas!$B:$B,MATCH(A198,Propostas!$A:$A,0)),IFERROR(INDEX('Lula 2022 (2023-2026)'!$D:$D,MATCH(A198,'Lula 2022 (2023-2026)'!$A:$A,0)),"ID inexistente")))</f>
        <v/>
      </c>
      <c r="K198" s="18" t="str">
        <f aca="false">IF(A198="","",IF(AND(ISNA(MATCH(A198,Propostas!$A:$A,0)),ISNA(MATCH(A198,'Lula 2022 (2023-2026)'!$A:$A,0))),"ID inexistente",IF(OR(F198="",NOT(ISNUMBER(E198))),"Sem fonte ou data",IF(NOT(AND(LEFT(G198,8)="https://",OR(ISNUMBER(SEARCH(".gov.br",G198)),ISNUMBER(SEARCH(".leg.br",G198)),ISNUMBER(SEARCH(".jus.br",G198)),ISNUMBER(SEARCH(".mp.br",G198))))),"Sem link oficial",IF(OR(NOT(ISNUMBER(C198)),NOT(ISNUMBER(D198)),D198&lt;0,D198&gt;C198),"Valor inválido","Verificável")))))</f>
        <v/>
      </c>
    </row>
    <row r="199" customFormat="false" ht="15" hidden="false" customHeight="true" outlineLevel="0" collapsed="false">
      <c r="A199" s="15"/>
      <c r="B199" s="15"/>
      <c r="C199" s="16"/>
      <c r="D199" s="16"/>
      <c r="E199" s="17"/>
      <c r="F199" s="15"/>
      <c r="G199" s="15"/>
      <c r="H199" s="15"/>
      <c r="I199" s="15"/>
      <c r="J199" s="18" t="str">
        <f aca="false">IF(A199="","",IFERROR(INDEX(Propostas!$B:$B,MATCH(A199,Propostas!$A:$A,0)),IFERROR(INDEX('Lula 2022 (2023-2026)'!$D:$D,MATCH(A199,'Lula 2022 (2023-2026)'!$A:$A,0)),"ID inexistente")))</f>
        <v/>
      </c>
      <c r="K199" s="18" t="str">
        <f aca="false">IF(A199="","",IF(AND(ISNA(MATCH(A199,Propostas!$A:$A,0)),ISNA(MATCH(A199,'Lula 2022 (2023-2026)'!$A:$A,0))),"ID inexistente",IF(OR(F199="",NOT(ISNUMBER(E199))),"Sem fonte ou data",IF(NOT(AND(LEFT(G199,8)="https://",OR(ISNUMBER(SEARCH(".gov.br",G199)),ISNUMBER(SEARCH(".leg.br",G199)),ISNUMBER(SEARCH(".jus.br",G199)),ISNUMBER(SEARCH(".mp.br",G199))))),"Sem link oficial",IF(OR(NOT(ISNUMBER(C199)),NOT(ISNUMBER(D199)),D199&lt;0,D199&gt;C199),"Valor inválido","Verificável")))))</f>
        <v/>
      </c>
    </row>
    <row r="200" customFormat="false" ht="15" hidden="false" customHeight="true" outlineLevel="0" collapsed="false">
      <c r="A200" s="15"/>
      <c r="B200" s="15"/>
      <c r="C200" s="16"/>
      <c r="D200" s="16"/>
      <c r="E200" s="17"/>
      <c r="F200" s="15"/>
      <c r="G200" s="15"/>
      <c r="H200" s="15"/>
      <c r="I200" s="15"/>
      <c r="J200" s="18" t="str">
        <f aca="false">IF(A200="","",IFERROR(INDEX(Propostas!$B:$B,MATCH(A200,Propostas!$A:$A,0)),IFERROR(INDEX('Lula 2022 (2023-2026)'!$D:$D,MATCH(A200,'Lula 2022 (2023-2026)'!$A:$A,0)),"ID inexistente")))</f>
        <v/>
      </c>
      <c r="K200" s="18" t="str">
        <f aca="false">IF(A200="","",IF(AND(ISNA(MATCH(A200,Propostas!$A:$A,0)),ISNA(MATCH(A200,'Lula 2022 (2023-2026)'!$A:$A,0))),"ID inexistente",IF(OR(F200="",NOT(ISNUMBER(E200))),"Sem fonte ou data",IF(NOT(AND(LEFT(G200,8)="https://",OR(ISNUMBER(SEARCH(".gov.br",G200)),ISNUMBER(SEARCH(".leg.br",G200)),ISNUMBER(SEARCH(".jus.br",G200)),ISNUMBER(SEARCH(".mp.br",G200))))),"Sem link oficial",IF(OR(NOT(ISNUMBER(C200)),NOT(ISNUMBER(D200)),D200&lt;0,D200&gt;C200),"Valor inválido","Verificável")))))</f>
        <v/>
      </c>
    </row>
    <row r="201" customFormat="false" ht="15" hidden="false" customHeight="true" outlineLevel="0" collapsed="false">
      <c r="A201" s="15"/>
      <c r="B201" s="15"/>
      <c r="C201" s="16"/>
      <c r="D201" s="16"/>
      <c r="E201" s="17"/>
      <c r="F201" s="15"/>
      <c r="G201" s="15"/>
      <c r="H201" s="15"/>
      <c r="I201" s="15"/>
      <c r="J201" s="18" t="str">
        <f aca="false">IF(A201="","",IFERROR(INDEX(Propostas!$B:$B,MATCH(A201,Propostas!$A:$A,0)),IFERROR(INDEX('Lula 2022 (2023-2026)'!$D:$D,MATCH(A201,'Lula 2022 (2023-2026)'!$A:$A,0)),"ID inexistente")))</f>
        <v/>
      </c>
      <c r="K201" s="18" t="str">
        <f aca="false">IF(A201="","",IF(AND(ISNA(MATCH(A201,Propostas!$A:$A,0)),ISNA(MATCH(A201,'Lula 2022 (2023-2026)'!$A:$A,0))),"ID inexistente",IF(OR(F201="",NOT(ISNUMBER(E201))),"Sem fonte ou data",IF(NOT(AND(LEFT(G201,8)="https://",OR(ISNUMBER(SEARCH(".gov.br",G201)),ISNUMBER(SEARCH(".leg.br",G201)),ISNUMBER(SEARCH(".jus.br",G201)),ISNUMBER(SEARCH(".mp.br",G201))))),"Sem link oficial",IF(OR(NOT(ISNUMBER(C201)),NOT(ISNUMBER(D201)),D201&lt;0,D201&gt;C201),"Valor inválido","Verificável")))))</f>
        <v/>
      </c>
    </row>
    <row r="202" customFormat="false" ht="15" hidden="false" customHeight="true" outlineLevel="0" collapsed="false">
      <c r="A202" s="15"/>
      <c r="B202" s="15"/>
      <c r="C202" s="16"/>
      <c r="D202" s="16"/>
      <c r="E202" s="17"/>
      <c r="F202" s="15"/>
      <c r="G202" s="15"/>
      <c r="H202" s="15"/>
      <c r="I202" s="15"/>
      <c r="J202" s="18" t="str">
        <f aca="false">IF(A202="","",IFERROR(INDEX(Propostas!$B:$B,MATCH(A202,Propostas!$A:$A,0)),IFERROR(INDEX('Lula 2022 (2023-2026)'!$D:$D,MATCH(A202,'Lula 2022 (2023-2026)'!$A:$A,0)),"ID inexistente")))</f>
        <v/>
      </c>
      <c r="K202" s="18" t="str">
        <f aca="false">IF(A202="","",IF(AND(ISNA(MATCH(A202,Propostas!$A:$A,0)),ISNA(MATCH(A202,'Lula 2022 (2023-2026)'!$A:$A,0))),"ID inexistente",IF(OR(F202="",NOT(ISNUMBER(E202))),"Sem fonte ou data",IF(NOT(AND(LEFT(G202,8)="https://",OR(ISNUMBER(SEARCH(".gov.br",G202)),ISNUMBER(SEARCH(".leg.br",G202)),ISNUMBER(SEARCH(".jus.br",G202)),ISNUMBER(SEARCH(".mp.br",G202))))),"Sem link oficial",IF(OR(NOT(ISNUMBER(C202)),NOT(ISNUMBER(D202)),D202&lt;0,D202&gt;C202),"Valor inválido","Verificável")))))</f>
        <v/>
      </c>
    </row>
    <row r="203" customFormat="false" ht="15" hidden="false" customHeight="true" outlineLevel="0" collapsed="false">
      <c r="A203" s="15"/>
      <c r="B203" s="15"/>
      <c r="C203" s="16"/>
      <c r="D203" s="16"/>
      <c r="E203" s="17"/>
      <c r="F203" s="15"/>
      <c r="G203" s="15"/>
      <c r="H203" s="15"/>
      <c r="I203" s="15"/>
      <c r="J203" s="18" t="str">
        <f aca="false">IF(A203="","",IFERROR(INDEX(Propostas!$B:$B,MATCH(A203,Propostas!$A:$A,0)),IFERROR(INDEX('Lula 2022 (2023-2026)'!$D:$D,MATCH(A203,'Lula 2022 (2023-2026)'!$A:$A,0)),"ID inexistente")))</f>
        <v/>
      </c>
      <c r="K203" s="18" t="str">
        <f aca="false">IF(A203="","",IF(AND(ISNA(MATCH(A203,Propostas!$A:$A,0)),ISNA(MATCH(A203,'Lula 2022 (2023-2026)'!$A:$A,0))),"ID inexistente",IF(OR(F203="",NOT(ISNUMBER(E203))),"Sem fonte ou data",IF(NOT(AND(LEFT(G203,8)="https://",OR(ISNUMBER(SEARCH(".gov.br",G203)),ISNUMBER(SEARCH(".leg.br",G203)),ISNUMBER(SEARCH(".jus.br",G203)),ISNUMBER(SEARCH(".mp.br",G203))))),"Sem link oficial",IF(OR(NOT(ISNUMBER(C203)),NOT(ISNUMBER(D203)),D203&lt;0,D203&gt;C203),"Valor inválido","Verificável")))))</f>
        <v/>
      </c>
    </row>
    <row r="204" customFormat="false" ht="15" hidden="false" customHeight="true" outlineLevel="0" collapsed="false">
      <c r="A204" s="15"/>
      <c r="B204" s="15"/>
      <c r="C204" s="16"/>
      <c r="D204" s="16"/>
      <c r="E204" s="17"/>
      <c r="F204" s="15"/>
      <c r="G204" s="15"/>
      <c r="H204" s="15"/>
      <c r="I204" s="15"/>
      <c r="J204" s="18" t="str">
        <f aca="false">IF(A204="","",IFERROR(INDEX(Propostas!$B:$B,MATCH(A204,Propostas!$A:$A,0)),IFERROR(INDEX('Lula 2022 (2023-2026)'!$D:$D,MATCH(A204,'Lula 2022 (2023-2026)'!$A:$A,0)),"ID inexistente")))</f>
        <v/>
      </c>
      <c r="K204" s="18" t="str">
        <f aca="false">IF(A204="","",IF(AND(ISNA(MATCH(A204,Propostas!$A:$A,0)),ISNA(MATCH(A204,'Lula 2022 (2023-2026)'!$A:$A,0))),"ID inexistente",IF(OR(F204="",NOT(ISNUMBER(E204))),"Sem fonte ou data",IF(NOT(AND(LEFT(G204,8)="https://",OR(ISNUMBER(SEARCH(".gov.br",G204)),ISNUMBER(SEARCH(".leg.br",G204)),ISNUMBER(SEARCH(".jus.br",G204)),ISNUMBER(SEARCH(".mp.br",G204))))),"Sem link oficial",IF(OR(NOT(ISNUMBER(C204)),NOT(ISNUMBER(D204)),D204&lt;0,D204&gt;C204),"Valor inválido","Verificável")))))</f>
        <v/>
      </c>
    </row>
    <row r="205" customFormat="false" ht="15" hidden="false" customHeight="true" outlineLevel="0" collapsed="false">
      <c r="A205" s="15"/>
      <c r="B205" s="15"/>
      <c r="C205" s="16"/>
      <c r="D205" s="16"/>
      <c r="E205" s="17"/>
      <c r="F205" s="15"/>
      <c r="G205" s="15"/>
      <c r="H205" s="15"/>
      <c r="I205" s="15"/>
      <c r="J205" s="18" t="str">
        <f aca="false">IF(A205="","",IFERROR(INDEX(Propostas!$B:$B,MATCH(A205,Propostas!$A:$A,0)),IFERROR(INDEX('Lula 2022 (2023-2026)'!$D:$D,MATCH(A205,'Lula 2022 (2023-2026)'!$A:$A,0)),"ID inexistente")))</f>
        <v/>
      </c>
      <c r="K205" s="18" t="str">
        <f aca="false">IF(A205="","",IF(AND(ISNA(MATCH(A205,Propostas!$A:$A,0)),ISNA(MATCH(A205,'Lula 2022 (2023-2026)'!$A:$A,0))),"ID inexistente",IF(OR(F205="",NOT(ISNUMBER(E205))),"Sem fonte ou data",IF(NOT(AND(LEFT(G205,8)="https://",OR(ISNUMBER(SEARCH(".gov.br",G205)),ISNUMBER(SEARCH(".leg.br",G205)),ISNUMBER(SEARCH(".jus.br",G205)),ISNUMBER(SEARCH(".mp.br",G205))))),"Sem link oficial",IF(OR(NOT(ISNUMBER(C205)),NOT(ISNUMBER(D205)),D205&lt;0,D205&gt;C205),"Valor inválido","Verificável")))))</f>
        <v/>
      </c>
    </row>
    <row r="206" customFormat="false" ht="15" hidden="false" customHeight="true" outlineLevel="0" collapsed="false">
      <c r="A206" s="15"/>
      <c r="B206" s="15"/>
      <c r="C206" s="16"/>
      <c r="D206" s="16"/>
      <c r="E206" s="17"/>
      <c r="F206" s="15"/>
      <c r="G206" s="15"/>
      <c r="H206" s="15"/>
      <c r="I206" s="15"/>
      <c r="J206" s="18" t="str">
        <f aca="false">IF(A206="","",IFERROR(INDEX(Propostas!$B:$B,MATCH(A206,Propostas!$A:$A,0)),IFERROR(INDEX('Lula 2022 (2023-2026)'!$D:$D,MATCH(A206,'Lula 2022 (2023-2026)'!$A:$A,0)),"ID inexistente")))</f>
        <v/>
      </c>
      <c r="K206" s="18" t="str">
        <f aca="false">IF(A206="","",IF(AND(ISNA(MATCH(A206,Propostas!$A:$A,0)),ISNA(MATCH(A206,'Lula 2022 (2023-2026)'!$A:$A,0))),"ID inexistente",IF(OR(F206="",NOT(ISNUMBER(E206))),"Sem fonte ou data",IF(NOT(AND(LEFT(G206,8)="https://",OR(ISNUMBER(SEARCH(".gov.br",G206)),ISNUMBER(SEARCH(".leg.br",G206)),ISNUMBER(SEARCH(".jus.br",G206)),ISNUMBER(SEARCH(".mp.br",G206))))),"Sem link oficial",IF(OR(NOT(ISNUMBER(C206)),NOT(ISNUMBER(D206)),D206&lt;0,D206&gt;C206),"Valor inválido","Verificável")))))</f>
        <v/>
      </c>
    </row>
    <row r="207" customFormat="false" ht="15" hidden="false" customHeight="true" outlineLevel="0" collapsed="false">
      <c r="A207" s="15"/>
      <c r="B207" s="15"/>
      <c r="C207" s="16"/>
      <c r="D207" s="16"/>
      <c r="E207" s="17"/>
      <c r="F207" s="15"/>
      <c r="G207" s="15"/>
      <c r="H207" s="15"/>
      <c r="I207" s="15"/>
      <c r="J207" s="18" t="str">
        <f aca="false">IF(A207="","",IFERROR(INDEX(Propostas!$B:$B,MATCH(A207,Propostas!$A:$A,0)),IFERROR(INDEX('Lula 2022 (2023-2026)'!$D:$D,MATCH(A207,'Lula 2022 (2023-2026)'!$A:$A,0)),"ID inexistente")))</f>
        <v/>
      </c>
      <c r="K207" s="18" t="str">
        <f aca="false">IF(A207="","",IF(AND(ISNA(MATCH(A207,Propostas!$A:$A,0)),ISNA(MATCH(A207,'Lula 2022 (2023-2026)'!$A:$A,0))),"ID inexistente",IF(OR(F207="",NOT(ISNUMBER(E207))),"Sem fonte ou data",IF(NOT(AND(LEFT(G207,8)="https://",OR(ISNUMBER(SEARCH(".gov.br",G207)),ISNUMBER(SEARCH(".leg.br",G207)),ISNUMBER(SEARCH(".jus.br",G207)),ISNUMBER(SEARCH(".mp.br",G207))))),"Sem link oficial",IF(OR(NOT(ISNUMBER(C207)),NOT(ISNUMBER(D207)),D207&lt;0,D207&gt;C207),"Valor inválido","Verificável")))))</f>
        <v/>
      </c>
    </row>
    <row r="208" customFormat="false" ht="15" hidden="false" customHeight="true" outlineLevel="0" collapsed="false">
      <c r="A208" s="15"/>
      <c r="B208" s="15"/>
      <c r="C208" s="16"/>
      <c r="D208" s="16"/>
      <c r="E208" s="17"/>
      <c r="F208" s="15"/>
      <c r="G208" s="15"/>
      <c r="H208" s="15"/>
      <c r="I208" s="15"/>
      <c r="J208" s="18" t="str">
        <f aca="false">IF(A208="","",IFERROR(INDEX(Propostas!$B:$B,MATCH(A208,Propostas!$A:$A,0)),IFERROR(INDEX('Lula 2022 (2023-2026)'!$D:$D,MATCH(A208,'Lula 2022 (2023-2026)'!$A:$A,0)),"ID inexistente")))</f>
        <v/>
      </c>
      <c r="K208" s="18" t="str">
        <f aca="false">IF(A208="","",IF(AND(ISNA(MATCH(A208,Propostas!$A:$A,0)),ISNA(MATCH(A208,'Lula 2022 (2023-2026)'!$A:$A,0))),"ID inexistente",IF(OR(F208="",NOT(ISNUMBER(E208))),"Sem fonte ou data",IF(NOT(AND(LEFT(G208,8)="https://",OR(ISNUMBER(SEARCH(".gov.br",G208)),ISNUMBER(SEARCH(".leg.br",G208)),ISNUMBER(SEARCH(".jus.br",G208)),ISNUMBER(SEARCH(".mp.br",G208))))),"Sem link oficial",IF(OR(NOT(ISNUMBER(C208)),NOT(ISNUMBER(D208)),D208&lt;0,D208&gt;C208),"Valor inválido","Verificável")))))</f>
        <v/>
      </c>
    </row>
    <row r="209" customFormat="false" ht="15" hidden="false" customHeight="true" outlineLevel="0" collapsed="false">
      <c r="A209" s="15"/>
      <c r="B209" s="15"/>
      <c r="C209" s="16"/>
      <c r="D209" s="16"/>
      <c r="E209" s="17"/>
      <c r="F209" s="15"/>
      <c r="G209" s="15"/>
      <c r="H209" s="15"/>
      <c r="I209" s="15"/>
      <c r="J209" s="18" t="str">
        <f aca="false">IF(A209="","",IFERROR(INDEX(Propostas!$B:$B,MATCH(A209,Propostas!$A:$A,0)),IFERROR(INDEX('Lula 2022 (2023-2026)'!$D:$D,MATCH(A209,'Lula 2022 (2023-2026)'!$A:$A,0)),"ID inexistente")))</f>
        <v/>
      </c>
      <c r="K209" s="18" t="str">
        <f aca="false">IF(A209="","",IF(AND(ISNA(MATCH(A209,Propostas!$A:$A,0)),ISNA(MATCH(A209,'Lula 2022 (2023-2026)'!$A:$A,0))),"ID inexistente",IF(OR(F209="",NOT(ISNUMBER(E209))),"Sem fonte ou data",IF(NOT(AND(LEFT(G209,8)="https://",OR(ISNUMBER(SEARCH(".gov.br",G209)),ISNUMBER(SEARCH(".leg.br",G209)),ISNUMBER(SEARCH(".jus.br",G209)),ISNUMBER(SEARCH(".mp.br",G209))))),"Sem link oficial",IF(OR(NOT(ISNUMBER(C209)),NOT(ISNUMBER(D209)),D209&lt;0,D209&gt;C209),"Valor inválido","Verificável")))))</f>
        <v/>
      </c>
    </row>
    <row r="210" customFormat="false" ht="15" hidden="false" customHeight="true" outlineLevel="0" collapsed="false">
      <c r="A210" s="15"/>
      <c r="B210" s="15"/>
      <c r="C210" s="16"/>
      <c r="D210" s="16"/>
      <c r="E210" s="17"/>
      <c r="F210" s="15"/>
      <c r="G210" s="15"/>
      <c r="H210" s="15"/>
      <c r="I210" s="15"/>
      <c r="J210" s="18" t="str">
        <f aca="false">IF(A210="","",IFERROR(INDEX(Propostas!$B:$B,MATCH(A210,Propostas!$A:$A,0)),IFERROR(INDEX('Lula 2022 (2023-2026)'!$D:$D,MATCH(A210,'Lula 2022 (2023-2026)'!$A:$A,0)),"ID inexistente")))</f>
        <v/>
      </c>
      <c r="K210" s="18" t="str">
        <f aca="false">IF(A210="","",IF(AND(ISNA(MATCH(A210,Propostas!$A:$A,0)),ISNA(MATCH(A210,'Lula 2022 (2023-2026)'!$A:$A,0))),"ID inexistente",IF(OR(F210="",NOT(ISNUMBER(E210))),"Sem fonte ou data",IF(NOT(AND(LEFT(G210,8)="https://",OR(ISNUMBER(SEARCH(".gov.br",G210)),ISNUMBER(SEARCH(".leg.br",G210)),ISNUMBER(SEARCH(".jus.br",G210)),ISNUMBER(SEARCH(".mp.br",G210))))),"Sem link oficial",IF(OR(NOT(ISNUMBER(C210)),NOT(ISNUMBER(D210)),D210&lt;0,D210&gt;C210),"Valor inválido","Verificável")))))</f>
        <v/>
      </c>
    </row>
    <row r="211" customFormat="false" ht="15" hidden="false" customHeight="true" outlineLevel="0" collapsed="false">
      <c r="A211" s="15"/>
      <c r="B211" s="15"/>
      <c r="C211" s="16"/>
      <c r="D211" s="16"/>
      <c r="E211" s="17"/>
      <c r="F211" s="15"/>
      <c r="G211" s="15"/>
      <c r="H211" s="15"/>
      <c r="I211" s="15"/>
      <c r="J211" s="18" t="str">
        <f aca="false">IF(A211="","",IFERROR(INDEX(Propostas!$B:$B,MATCH(A211,Propostas!$A:$A,0)),IFERROR(INDEX('Lula 2022 (2023-2026)'!$D:$D,MATCH(A211,'Lula 2022 (2023-2026)'!$A:$A,0)),"ID inexistente")))</f>
        <v/>
      </c>
      <c r="K211" s="18" t="str">
        <f aca="false">IF(A211="","",IF(AND(ISNA(MATCH(A211,Propostas!$A:$A,0)),ISNA(MATCH(A211,'Lula 2022 (2023-2026)'!$A:$A,0))),"ID inexistente",IF(OR(F211="",NOT(ISNUMBER(E211))),"Sem fonte ou data",IF(NOT(AND(LEFT(G211,8)="https://",OR(ISNUMBER(SEARCH(".gov.br",G211)),ISNUMBER(SEARCH(".leg.br",G211)),ISNUMBER(SEARCH(".jus.br",G211)),ISNUMBER(SEARCH(".mp.br",G211))))),"Sem link oficial",IF(OR(NOT(ISNUMBER(C211)),NOT(ISNUMBER(D211)),D211&lt;0,D211&gt;C211),"Valor inválido","Verificável")))))</f>
        <v/>
      </c>
    </row>
    <row r="212" customFormat="false" ht="15" hidden="false" customHeight="true" outlineLevel="0" collapsed="false">
      <c r="A212" s="15"/>
      <c r="B212" s="15"/>
      <c r="C212" s="16"/>
      <c r="D212" s="16"/>
      <c r="E212" s="17"/>
      <c r="F212" s="15"/>
      <c r="G212" s="15"/>
      <c r="H212" s="15"/>
      <c r="I212" s="15"/>
      <c r="J212" s="18" t="str">
        <f aca="false">IF(A212="","",IFERROR(INDEX(Propostas!$B:$B,MATCH(A212,Propostas!$A:$A,0)),IFERROR(INDEX('Lula 2022 (2023-2026)'!$D:$D,MATCH(A212,'Lula 2022 (2023-2026)'!$A:$A,0)),"ID inexistente")))</f>
        <v/>
      </c>
      <c r="K212" s="18" t="str">
        <f aca="false">IF(A212="","",IF(AND(ISNA(MATCH(A212,Propostas!$A:$A,0)),ISNA(MATCH(A212,'Lula 2022 (2023-2026)'!$A:$A,0))),"ID inexistente",IF(OR(F212="",NOT(ISNUMBER(E212))),"Sem fonte ou data",IF(NOT(AND(LEFT(G212,8)="https://",OR(ISNUMBER(SEARCH(".gov.br",G212)),ISNUMBER(SEARCH(".leg.br",G212)),ISNUMBER(SEARCH(".jus.br",G212)),ISNUMBER(SEARCH(".mp.br",G212))))),"Sem link oficial",IF(OR(NOT(ISNUMBER(C212)),NOT(ISNUMBER(D212)),D212&lt;0,D212&gt;C212),"Valor inválido","Verificável")))))</f>
        <v/>
      </c>
    </row>
    <row r="213" customFormat="false" ht="15" hidden="false" customHeight="true" outlineLevel="0" collapsed="false">
      <c r="A213" s="15"/>
      <c r="B213" s="15"/>
      <c r="C213" s="16"/>
      <c r="D213" s="16"/>
      <c r="E213" s="17"/>
      <c r="F213" s="15"/>
      <c r="G213" s="15"/>
      <c r="H213" s="15"/>
      <c r="I213" s="15"/>
      <c r="J213" s="18" t="str">
        <f aca="false">IF(A213="","",IFERROR(INDEX(Propostas!$B:$B,MATCH(A213,Propostas!$A:$A,0)),IFERROR(INDEX('Lula 2022 (2023-2026)'!$D:$D,MATCH(A213,'Lula 2022 (2023-2026)'!$A:$A,0)),"ID inexistente")))</f>
        <v/>
      </c>
      <c r="K213" s="18" t="str">
        <f aca="false">IF(A213="","",IF(AND(ISNA(MATCH(A213,Propostas!$A:$A,0)),ISNA(MATCH(A213,'Lula 2022 (2023-2026)'!$A:$A,0))),"ID inexistente",IF(OR(F213="",NOT(ISNUMBER(E213))),"Sem fonte ou data",IF(NOT(AND(LEFT(G213,8)="https://",OR(ISNUMBER(SEARCH(".gov.br",G213)),ISNUMBER(SEARCH(".leg.br",G213)),ISNUMBER(SEARCH(".jus.br",G213)),ISNUMBER(SEARCH(".mp.br",G213))))),"Sem link oficial",IF(OR(NOT(ISNUMBER(C213)),NOT(ISNUMBER(D213)),D213&lt;0,D213&gt;C213),"Valor inválido","Verificável")))))</f>
        <v/>
      </c>
    </row>
    <row r="214" customFormat="false" ht="15" hidden="false" customHeight="true" outlineLevel="0" collapsed="false">
      <c r="A214" s="15"/>
      <c r="B214" s="15"/>
      <c r="C214" s="16"/>
      <c r="D214" s="16"/>
      <c r="E214" s="17"/>
      <c r="F214" s="15"/>
      <c r="G214" s="15"/>
      <c r="H214" s="15"/>
      <c r="I214" s="15"/>
      <c r="J214" s="18" t="str">
        <f aca="false">IF(A214="","",IFERROR(INDEX(Propostas!$B:$B,MATCH(A214,Propostas!$A:$A,0)),IFERROR(INDEX('Lula 2022 (2023-2026)'!$D:$D,MATCH(A214,'Lula 2022 (2023-2026)'!$A:$A,0)),"ID inexistente")))</f>
        <v/>
      </c>
      <c r="K214" s="18" t="str">
        <f aca="false">IF(A214="","",IF(AND(ISNA(MATCH(A214,Propostas!$A:$A,0)),ISNA(MATCH(A214,'Lula 2022 (2023-2026)'!$A:$A,0))),"ID inexistente",IF(OR(F214="",NOT(ISNUMBER(E214))),"Sem fonte ou data",IF(NOT(AND(LEFT(G214,8)="https://",OR(ISNUMBER(SEARCH(".gov.br",G214)),ISNUMBER(SEARCH(".leg.br",G214)),ISNUMBER(SEARCH(".jus.br",G214)),ISNUMBER(SEARCH(".mp.br",G214))))),"Sem link oficial",IF(OR(NOT(ISNUMBER(C214)),NOT(ISNUMBER(D214)),D214&lt;0,D214&gt;C214),"Valor inválido","Verificável")))))</f>
        <v/>
      </c>
    </row>
    <row r="215" customFormat="false" ht="15" hidden="false" customHeight="true" outlineLevel="0" collapsed="false">
      <c r="A215" s="15"/>
      <c r="B215" s="15"/>
      <c r="C215" s="16"/>
      <c r="D215" s="16"/>
      <c r="E215" s="17"/>
      <c r="F215" s="15"/>
      <c r="G215" s="15"/>
      <c r="H215" s="15"/>
      <c r="I215" s="15"/>
      <c r="J215" s="18" t="str">
        <f aca="false">IF(A215="","",IFERROR(INDEX(Propostas!$B:$B,MATCH(A215,Propostas!$A:$A,0)),IFERROR(INDEX('Lula 2022 (2023-2026)'!$D:$D,MATCH(A215,'Lula 2022 (2023-2026)'!$A:$A,0)),"ID inexistente")))</f>
        <v/>
      </c>
      <c r="K215" s="18" t="str">
        <f aca="false">IF(A215="","",IF(AND(ISNA(MATCH(A215,Propostas!$A:$A,0)),ISNA(MATCH(A215,'Lula 2022 (2023-2026)'!$A:$A,0))),"ID inexistente",IF(OR(F215="",NOT(ISNUMBER(E215))),"Sem fonte ou data",IF(NOT(AND(LEFT(G215,8)="https://",OR(ISNUMBER(SEARCH(".gov.br",G215)),ISNUMBER(SEARCH(".leg.br",G215)),ISNUMBER(SEARCH(".jus.br",G215)),ISNUMBER(SEARCH(".mp.br",G215))))),"Sem link oficial",IF(OR(NOT(ISNUMBER(C215)),NOT(ISNUMBER(D215)),D215&lt;0,D215&gt;C215),"Valor inválido","Verificável")))))</f>
        <v/>
      </c>
    </row>
    <row r="216" customFormat="false" ht="15" hidden="false" customHeight="true" outlineLevel="0" collapsed="false">
      <c r="A216" s="15"/>
      <c r="B216" s="15"/>
      <c r="C216" s="16"/>
      <c r="D216" s="16"/>
      <c r="E216" s="17"/>
      <c r="F216" s="15"/>
      <c r="G216" s="15"/>
      <c r="H216" s="15"/>
      <c r="I216" s="15"/>
      <c r="J216" s="18" t="str">
        <f aca="false">IF(A216="","",IFERROR(INDEX(Propostas!$B:$B,MATCH(A216,Propostas!$A:$A,0)),IFERROR(INDEX('Lula 2022 (2023-2026)'!$D:$D,MATCH(A216,'Lula 2022 (2023-2026)'!$A:$A,0)),"ID inexistente")))</f>
        <v/>
      </c>
      <c r="K216" s="18" t="str">
        <f aca="false">IF(A216="","",IF(AND(ISNA(MATCH(A216,Propostas!$A:$A,0)),ISNA(MATCH(A216,'Lula 2022 (2023-2026)'!$A:$A,0))),"ID inexistente",IF(OR(F216="",NOT(ISNUMBER(E216))),"Sem fonte ou data",IF(NOT(AND(LEFT(G216,8)="https://",OR(ISNUMBER(SEARCH(".gov.br",G216)),ISNUMBER(SEARCH(".leg.br",G216)),ISNUMBER(SEARCH(".jus.br",G216)),ISNUMBER(SEARCH(".mp.br",G216))))),"Sem link oficial",IF(OR(NOT(ISNUMBER(C216)),NOT(ISNUMBER(D216)),D216&lt;0,D216&gt;C216),"Valor inválido","Verificável")))))</f>
        <v/>
      </c>
    </row>
    <row r="217" customFormat="false" ht="15" hidden="false" customHeight="true" outlineLevel="0" collapsed="false">
      <c r="A217" s="15"/>
      <c r="B217" s="15"/>
      <c r="C217" s="16"/>
      <c r="D217" s="16"/>
      <c r="E217" s="17"/>
      <c r="F217" s="15"/>
      <c r="G217" s="15"/>
      <c r="H217" s="15"/>
      <c r="I217" s="15"/>
      <c r="J217" s="18" t="str">
        <f aca="false">IF(A217="","",IFERROR(INDEX(Propostas!$B:$B,MATCH(A217,Propostas!$A:$A,0)),IFERROR(INDEX('Lula 2022 (2023-2026)'!$D:$D,MATCH(A217,'Lula 2022 (2023-2026)'!$A:$A,0)),"ID inexistente")))</f>
        <v/>
      </c>
      <c r="K217" s="18" t="str">
        <f aca="false">IF(A217="","",IF(AND(ISNA(MATCH(A217,Propostas!$A:$A,0)),ISNA(MATCH(A217,'Lula 2022 (2023-2026)'!$A:$A,0))),"ID inexistente",IF(OR(F217="",NOT(ISNUMBER(E217))),"Sem fonte ou data",IF(NOT(AND(LEFT(G217,8)="https://",OR(ISNUMBER(SEARCH(".gov.br",G217)),ISNUMBER(SEARCH(".leg.br",G217)),ISNUMBER(SEARCH(".jus.br",G217)),ISNUMBER(SEARCH(".mp.br",G217))))),"Sem link oficial",IF(OR(NOT(ISNUMBER(C217)),NOT(ISNUMBER(D217)),D217&lt;0,D217&gt;C217),"Valor inválido","Verificável")))))</f>
        <v/>
      </c>
    </row>
    <row r="218" customFormat="false" ht="15" hidden="false" customHeight="true" outlineLevel="0" collapsed="false">
      <c r="A218" s="15"/>
      <c r="B218" s="15"/>
      <c r="C218" s="16"/>
      <c r="D218" s="16"/>
      <c r="E218" s="17"/>
      <c r="F218" s="15"/>
      <c r="G218" s="15"/>
      <c r="H218" s="15"/>
      <c r="I218" s="15"/>
      <c r="J218" s="18" t="str">
        <f aca="false">IF(A218="","",IFERROR(INDEX(Propostas!$B:$B,MATCH(A218,Propostas!$A:$A,0)),IFERROR(INDEX('Lula 2022 (2023-2026)'!$D:$D,MATCH(A218,'Lula 2022 (2023-2026)'!$A:$A,0)),"ID inexistente")))</f>
        <v/>
      </c>
      <c r="K218" s="18" t="str">
        <f aca="false">IF(A218="","",IF(AND(ISNA(MATCH(A218,Propostas!$A:$A,0)),ISNA(MATCH(A218,'Lula 2022 (2023-2026)'!$A:$A,0))),"ID inexistente",IF(OR(F218="",NOT(ISNUMBER(E218))),"Sem fonte ou data",IF(NOT(AND(LEFT(G218,8)="https://",OR(ISNUMBER(SEARCH(".gov.br",G218)),ISNUMBER(SEARCH(".leg.br",G218)),ISNUMBER(SEARCH(".jus.br",G218)),ISNUMBER(SEARCH(".mp.br",G218))))),"Sem link oficial",IF(OR(NOT(ISNUMBER(C218)),NOT(ISNUMBER(D218)),D218&lt;0,D218&gt;C218),"Valor inválido","Verificável")))))</f>
        <v/>
      </c>
    </row>
    <row r="219" customFormat="false" ht="15" hidden="false" customHeight="true" outlineLevel="0" collapsed="false">
      <c r="A219" s="15"/>
      <c r="B219" s="15"/>
      <c r="C219" s="16"/>
      <c r="D219" s="16"/>
      <c r="E219" s="17"/>
      <c r="F219" s="15"/>
      <c r="G219" s="15"/>
      <c r="H219" s="15"/>
      <c r="I219" s="15"/>
      <c r="J219" s="18" t="str">
        <f aca="false">IF(A219="","",IFERROR(INDEX(Propostas!$B:$B,MATCH(A219,Propostas!$A:$A,0)),IFERROR(INDEX('Lula 2022 (2023-2026)'!$D:$D,MATCH(A219,'Lula 2022 (2023-2026)'!$A:$A,0)),"ID inexistente")))</f>
        <v/>
      </c>
      <c r="K219" s="18" t="str">
        <f aca="false">IF(A219="","",IF(AND(ISNA(MATCH(A219,Propostas!$A:$A,0)),ISNA(MATCH(A219,'Lula 2022 (2023-2026)'!$A:$A,0))),"ID inexistente",IF(OR(F219="",NOT(ISNUMBER(E219))),"Sem fonte ou data",IF(NOT(AND(LEFT(G219,8)="https://",OR(ISNUMBER(SEARCH(".gov.br",G219)),ISNUMBER(SEARCH(".leg.br",G219)),ISNUMBER(SEARCH(".jus.br",G219)),ISNUMBER(SEARCH(".mp.br",G219))))),"Sem link oficial",IF(OR(NOT(ISNUMBER(C219)),NOT(ISNUMBER(D219)),D219&lt;0,D219&gt;C219),"Valor inválido","Verificável")))))</f>
        <v/>
      </c>
    </row>
    <row r="220" customFormat="false" ht="15" hidden="false" customHeight="true" outlineLevel="0" collapsed="false">
      <c r="A220" s="15"/>
      <c r="B220" s="15"/>
      <c r="C220" s="16"/>
      <c r="D220" s="16"/>
      <c r="E220" s="17"/>
      <c r="F220" s="15"/>
      <c r="G220" s="15"/>
      <c r="H220" s="15"/>
      <c r="I220" s="15"/>
      <c r="J220" s="18" t="str">
        <f aca="false">IF(A220="","",IFERROR(INDEX(Propostas!$B:$B,MATCH(A220,Propostas!$A:$A,0)),IFERROR(INDEX('Lula 2022 (2023-2026)'!$D:$D,MATCH(A220,'Lula 2022 (2023-2026)'!$A:$A,0)),"ID inexistente")))</f>
        <v/>
      </c>
      <c r="K220" s="18" t="str">
        <f aca="false">IF(A220="","",IF(AND(ISNA(MATCH(A220,Propostas!$A:$A,0)),ISNA(MATCH(A220,'Lula 2022 (2023-2026)'!$A:$A,0))),"ID inexistente",IF(OR(F220="",NOT(ISNUMBER(E220))),"Sem fonte ou data",IF(NOT(AND(LEFT(G220,8)="https://",OR(ISNUMBER(SEARCH(".gov.br",G220)),ISNUMBER(SEARCH(".leg.br",G220)),ISNUMBER(SEARCH(".jus.br",G220)),ISNUMBER(SEARCH(".mp.br",G220))))),"Sem link oficial",IF(OR(NOT(ISNUMBER(C220)),NOT(ISNUMBER(D220)),D220&lt;0,D220&gt;C220),"Valor inválido","Verificável")))))</f>
        <v/>
      </c>
    </row>
    <row r="221" customFormat="false" ht="15" hidden="false" customHeight="true" outlineLevel="0" collapsed="false">
      <c r="A221" s="15"/>
      <c r="B221" s="15"/>
      <c r="C221" s="16"/>
      <c r="D221" s="16"/>
      <c r="E221" s="17"/>
      <c r="F221" s="15"/>
      <c r="G221" s="15"/>
      <c r="H221" s="15"/>
      <c r="I221" s="15"/>
      <c r="J221" s="18" t="str">
        <f aca="false">IF(A221="","",IFERROR(INDEX(Propostas!$B:$B,MATCH(A221,Propostas!$A:$A,0)),IFERROR(INDEX('Lula 2022 (2023-2026)'!$D:$D,MATCH(A221,'Lula 2022 (2023-2026)'!$A:$A,0)),"ID inexistente")))</f>
        <v/>
      </c>
      <c r="K221" s="18" t="str">
        <f aca="false">IF(A221="","",IF(AND(ISNA(MATCH(A221,Propostas!$A:$A,0)),ISNA(MATCH(A221,'Lula 2022 (2023-2026)'!$A:$A,0))),"ID inexistente",IF(OR(F221="",NOT(ISNUMBER(E221))),"Sem fonte ou data",IF(NOT(AND(LEFT(G221,8)="https://",OR(ISNUMBER(SEARCH(".gov.br",G221)),ISNUMBER(SEARCH(".leg.br",G221)),ISNUMBER(SEARCH(".jus.br",G221)),ISNUMBER(SEARCH(".mp.br",G221))))),"Sem link oficial",IF(OR(NOT(ISNUMBER(C221)),NOT(ISNUMBER(D221)),D221&lt;0,D221&gt;C221),"Valor inválido","Verificável")))))</f>
        <v/>
      </c>
    </row>
    <row r="222" customFormat="false" ht="15" hidden="false" customHeight="true" outlineLevel="0" collapsed="false">
      <c r="A222" s="15"/>
      <c r="B222" s="15"/>
      <c r="C222" s="16"/>
      <c r="D222" s="16"/>
      <c r="E222" s="17"/>
      <c r="F222" s="15"/>
      <c r="G222" s="15"/>
      <c r="H222" s="15"/>
      <c r="I222" s="15"/>
      <c r="J222" s="18" t="str">
        <f aca="false">IF(A222="","",IFERROR(INDEX(Propostas!$B:$B,MATCH(A222,Propostas!$A:$A,0)),IFERROR(INDEX('Lula 2022 (2023-2026)'!$D:$D,MATCH(A222,'Lula 2022 (2023-2026)'!$A:$A,0)),"ID inexistente")))</f>
        <v/>
      </c>
      <c r="K222" s="18" t="str">
        <f aca="false">IF(A222="","",IF(AND(ISNA(MATCH(A222,Propostas!$A:$A,0)),ISNA(MATCH(A222,'Lula 2022 (2023-2026)'!$A:$A,0))),"ID inexistente",IF(OR(F222="",NOT(ISNUMBER(E222))),"Sem fonte ou data",IF(NOT(AND(LEFT(G222,8)="https://",OR(ISNUMBER(SEARCH(".gov.br",G222)),ISNUMBER(SEARCH(".leg.br",G222)),ISNUMBER(SEARCH(".jus.br",G222)),ISNUMBER(SEARCH(".mp.br",G222))))),"Sem link oficial",IF(OR(NOT(ISNUMBER(C222)),NOT(ISNUMBER(D222)),D222&lt;0,D222&gt;C222),"Valor inválido","Verificável")))))</f>
        <v/>
      </c>
    </row>
    <row r="223" customFormat="false" ht="15" hidden="false" customHeight="true" outlineLevel="0" collapsed="false">
      <c r="A223" s="15"/>
      <c r="B223" s="15"/>
      <c r="C223" s="16"/>
      <c r="D223" s="16"/>
      <c r="E223" s="17"/>
      <c r="F223" s="15"/>
      <c r="G223" s="15"/>
      <c r="H223" s="15"/>
      <c r="I223" s="15"/>
      <c r="J223" s="18" t="str">
        <f aca="false">IF(A223="","",IFERROR(INDEX(Propostas!$B:$B,MATCH(A223,Propostas!$A:$A,0)),IFERROR(INDEX('Lula 2022 (2023-2026)'!$D:$D,MATCH(A223,'Lula 2022 (2023-2026)'!$A:$A,0)),"ID inexistente")))</f>
        <v/>
      </c>
      <c r="K223" s="18" t="str">
        <f aca="false">IF(A223="","",IF(AND(ISNA(MATCH(A223,Propostas!$A:$A,0)),ISNA(MATCH(A223,'Lula 2022 (2023-2026)'!$A:$A,0))),"ID inexistente",IF(OR(F223="",NOT(ISNUMBER(E223))),"Sem fonte ou data",IF(NOT(AND(LEFT(G223,8)="https://",OR(ISNUMBER(SEARCH(".gov.br",G223)),ISNUMBER(SEARCH(".leg.br",G223)),ISNUMBER(SEARCH(".jus.br",G223)),ISNUMBER(SEARCH(".mp.br",G223))))),"Sem link oficial",IF(OR(NOT(ISNUMBER(C223)),NOT(ISNUMBER(D223)),D223&lt;0,D223&gt;C223),"Valor inválido","Verificável")))))</f>
        <v/>
      </c>
    </row>
    <row r="224" customFormat="false" ht="15" hidden="false" customHeight="true" outlineLevel="0" collapsed="false">
      <c r="A224" s="15"/>
      <c r="B224" s="15"/>
      <c r="C224" s="16"/>
      <c r="D224" s="16"/>
      <c r="E224" s="17"/>
      <c r="F224" s="15"/>
      <c r="G224" s="15"/>
      <c r="H224" s="15"/>
      <c r="I224" s="15"/>
      <c r="J224" s="18" t="str">
        <f aca="false">IF(A224="","",IFERROR(INDEX(Propostas!$B:$B,MATCH(A224,Propostas!$A:$A,0)),IFERROR(INDEX('Lula 2022 (2023-2026)'!$D:$D,MATCH(A224,'Lula 2022 (2023-2026)'!$A:$A,0)),"ID inexistente")))</f>
        <v/>
      </c>
      <c r="K224" s="18" t="str">
        <f aca="false">IF(A224="","",IF(AND(ISNA(MATCH(A224,Propostas!$A:$A,0)),ISNA(MATCH(A224,'Lula 2022 (2023-2026)'!$A:$A,0))),"ID inexistente",IF(OR(F224="",NOT(ISNUMBER(E224))),"Sem fonte ou data",IF(NOT(AND(LEFT(G224,8)="https://",OR(ISNUMBER(SEARCH(".gov.br",G224)),ISNUMBER(SEARCH(".leg.br",G224)),ISNUMBER(SEARCH(".jus.br",G224)),ISNUMBER(SEARCH(".mp.br",G224))))),"Sem link oficial",IF(OR(NOT(ISNUMBER(C224)),NOT(ISNUMBER(D224)),D224&lt;0,D224&gt;C224),"Valor inválido","Verificável")))))</f>
        <v/>
      </c>
    </row>
    <row r="225" customFormat="false" ht="15" hidden="false" customHeight="true" outlineLevel="0" collapsed="false">
      <c r="A225" s="15"/>
      <c r="B225" s="15"/>
      <c r="C225" s="16"/>
      <c r="D225" s="16"/>
      <c r="E225" s="17"/>
      <c r="F225" s="15"/>
      <c r="G225" s="15"/>
      <c r="H225" s="15"/>
      <c r="I225" s="15"/>
      <c r="J225" s="18" t="str">
        <f aca="false">IF(A225="","",IFERROR(INDEX(Propostas!$B:$B,MATCH(A225,Propostas!$A:$A,0)),IFERROR(INDEX('Lula 2022 (2023-2026)'!$D:$D,MATCH(A225,'Lula 2022 (2023-2026)'!$A:$A,0)),"ID inexistente")))</f>
        <v/>
      </c>
      <c r="K225" s="18" t="str">
        <f aca="false">IF(A225="","",IF(AND(ISNA(MATCH(A225,Propostas!$A:$A,0)),ISNA(MATCH(A225,'Lula 2022 (2023-2026)'!$A:$A,0))),"ID inexistente",IF(OR(F225="",NOT(ISNUMBER(E225))),"Sem fonte ou data",IF(NOT(AND(LEFT(G225,8)="https://",OR(ISNUMBER(SEARCH(".gov.br",G225)),ISNUMBER(SEARCH(".leg.br",G225)),ISNUMBER(SEARCH(".jus.br",G225)),ISNUMBER(SEARCH(".mp.br",G225))))),"Sem link oficial",IF(OR(NOT(ISNUMBER(C225)),NOT(ISNUMBER(D225)),D225&lt;0,D225&gt;C225),"Valor inválido","Verificável")))))</f>
        <v/>
      </c>
    </row>
    <row r="226" customFormat="false" ht="15" hidden="false" customHeight="true" outlineLevel="0" collapsed="false">
      <c r="A226" s="15"/>
      <c r="B226" s="15"/>
      <c r="C226" s="16"/>
      <c r="D226" s="16"/>
      <c r="E226" s="17"/>
      <c r="F226" s="15"/>
      <c r="G226" s="15"/>
      <c r="H226" s="15"/>
      <c r="I226" s="15"/>
      <c r="J226" s="18" t="str">
        <f aca="false">IF(A226="","",IFERROR(INDEX(Propostas!$B:$B,MATCH(A226,Propostas!$A:$A,0)),IFERROR(INDEX('Lula 2022 (2023-2026)'!$D:$D,MATCH(A226,'Lula 2022 (2023-2026)'!$A:$A,0)),"ID inexistente")))</f>
        <v/>
      </c>
      <c r="K226" s="18" t="str">
        <f aca="false">IF(A226="","",IF(AND(ISNA(MATCH(A226,Propostas!$A:$A,0)),ISNA(MATCH(A226,'Lula 2022 (2023-2026)'!$A:$A,0))),"ID inexistente",IF(OR(F226="",NOT(ISNUMBER(E226))),"Sem fonte ou data",IF(NOT(AND(LEFT(G226,8)="https://",OR(ISNUMBER(SEARCH(".gov.br",G226)),ISNUMBER(SEARCH(".leg.br",G226)),ISNUMBER(SEARCH(".jus.br",G226)),ISNUMBER(SEARCH(".mp.br",G226))))),"Sem link oficial",IF(OR(NOT(ISNUMBER(C226)),NOT(ISNUMBER(D226)),D226&lt;0,D226&gt;C226),"Valor inválido","Verificável")))))</f>
        <v/>
      </c>
    </row>
    <row r="227" customFormat="false" ht="15" hidden="false" customHeight="true" outlineLevel="0" collapsed="false">
      <c r="A227" s="15"/>
      <c r="B227" s="15"/>
      <c r="C227" s="16"/>
      <c r="D227" s="16"/>
      <c r="E227" s="17"/>
      <c r="F227" s="15"/>
      <c r="G227" s="15"/>
      <c r="H227" s="15"/>
      <c r="I227" s="15"/>
      <c r="J227" s="18" t="str">
        <f aca="false">IF(A227="","",IFERROR(INDEX(Propostas!$B:$B,MATCH(A227,Propostas!$A:$A,0)),IFERROR(INDEX('Lula 2022 (2023-2026)'!$D:$D,MATCH(A227,'Lula 2022 (2023-2026)'!$A:$A,0)),"ID inexistente")))</f>
        <v/>
      </c>
      <c r="K227" s="18" t="str">
        <f aca="false">IF(A227="","",IF(AND(ISNA(MATCH(A227,Propostas!$A:$A,0)),ISNA(MATCH(A227,'Lula 2022 (2023-2026)'!$A:$A,0))),"ID inexistente",IF(OR(F227="",NOT(ISNUMBER(E227))),"Sem fonte ou data",IF(NOT(AND(LEFT(G227,8)="https://",OR(ISNUMBER(SEARCH(".gov.br",G227)),ISNUMBER(SEARCH(".leg.br",G227)),ISNUMBER(SEARCH(".jus.br",G227)),ISNUMBER(SEARCH(".mp.br",G227))))),"Sem link oficial",IF(OR(NOT(ISNUMBER(C227)),NOT(ISNUMBER(D227)),D227&lt;0,D227&gt;C227),"Valor inválido","Verificável")))))</f>
        <v/>
      </c>
    </row>
    <row r="228" customFormat="false" ht="15" hidden="false" customHeight="true" outlineLevel="0" collapsed="false">
      <c r="A228" s="15"/>
      <c r="B228" s="15"/>
      <c r="C228" s="16"/>
      <c r="D228" s="16"/>
      <c r="E228" s="17"/>
      <c r="F228" s="15"/>
      <c r="G228" s="15"/>
      <c r="H228" s="15"/>
      <c r="I228" s="15"/>
      <c r="J228" s="18" t="str">
        <f aca="false">IF(A228="","",IFERROR(INDEX(Propostas!$B:$B,MATCH(A228,Propostas!$A:$A,0)),IFERROR(INDEX('Lula 2022 (2023-2026)'!$D:$D,MATCH(A228,'Lula 2022 (2023-2026)'!$A:$A,0)),"ID inexistente")))</f>
        <v/>
      </c>
      <c r="K228" s="18" t="str">
        <f aca="false">IF(A228="","",IF(AND(ISNA(MATCH(A228,Propostas!$A:$A,0)),ISNA(MATCH(A228,'Lula 2022 (2023-2026)'!$A:$A,0))),"ID inexistente",IF(OR(F228="",NOT(ISNUMBER(E228))),"Sem fonte ou data",IF(NOT(AND(LEFT(G228,8)="https://",OR(ISNUMBER(SEARCH(".gov.br",G228)),ISNUMBER(SEARCH(".leg.br",G228)),ISNUMBER(SEARCH(".jus.br",G228)),ISNUMBER(SEARCH(".mp.br",G228))))),"Sem link oficial",IF(OR(NOT(ISNUMBER(C228)),NOT(ISNUMBER(D228)),D228&lt;0,D228&gt;C228),"Valor inválido","Verificável")))))</f>
        <v/>
      </c>
    </row>
    <row r="229" customFormat="false" ht="15" hidden="false" customHeight="true" outlineLevel="0" collapsed="false">
      <c r="A229" s="15"/>
      <c r="B229" s="15"/>
      <c r="C229" s="16"/>
      <c r="D229" s="16"/>
      <c r="E229" s="17"/>
      <c r="F229" s="15"/>
      <c r="G229" s="15"/>
      <c r="H229" s="15"/>
      <c r="I229" s="15"/>
      <c r="J229" s="18" t="str">
        <f aca="false">IF(A229="","",IFERROR(INDEX(Propostas!$B:$B,MATCH(A229,Propostas!$A:$A,0)),IFERROR(INDEX('Lula 2022 (2023-2026)'!$D:$D,MATCH(A229,'Lula 2022 (2023-2026)'!$A:$A,0)),"ID inexistente")))</f>
        <v/>
      </c>
      <c r="K229" s="18" t="str">
        <f aca="false">IF(A229="","",IF(AND(ISNA(MATCH(A229,Propostas!$A:$A,0)),ISNA(MATCH(A229,'Lula 2022 (2023-2026)'!$A:$A,0))),"ID inexistente",IF(OR(F229="",NOT(ISNUMBER(E229))),"Sem fonte ou data",IF(NOT(AND(LEFT(G229,8)="https://",OR(ISNUMBER(SEARCH(".gov.br",G229)),ISNUMBER(SEARCH(".leg.br",G229)),ISNUMBER(SEARCH(".jus.br",G229)),ISNUMBER(SEARCH(".mp.br",G229))))),"Sem link oficial",IF(OR(NOT(ISNUMBER(C229)),NOT(ISNUMBER(D229)),D229&lt;0,D229&gt;C229),"Valor inválido","Verificável")))))</f>
        <v/>
      </c>
    </row>
    <row r="230" customFormat="false" ht="15" hidden="false" customHeight="true" outlineLevel="0" collapsed="false">
      <c r="A230" s="15"/>
      <c r="B230" s="15"/>
      <c r="C230" s="16"/>
      <c r="D230" s="16"/>
      <c r="E230" s="17"/>
      <c r="F230" s="15"/>
      <c r="G230" s="15"/>
      <c r="H230" s="15"/>
      <c r="I230" s="15"/>
      <c r="J230" s="18" t="str">
        <f aca="false">IF(A230="","",IFERROR(INDEX(Propostas!$B:$B,MATCH(A230,Propostas!$A:$A,0)),IFERROR(INDEX('Lula 2022 (2023-2026)'!$D:$D,MATCH(A230,'Lula 2022 (2023-2026)'!$A:$A,0)),"ID inexistente")))</f>
        <v/>
      </c>
      <c r="K230" s="18" t="str">
        <f aca="false">IF(A230="","",IF(AND(ISNA(MATCH(A230,Propostas!$A:$A,0)),ISNA(MATCH(A230,'Lula 2022 (2023-2026)'!$A:$A,0))),"ID inexistente",IF(OR(F230="",NOT(ISNUMBER(E230))),"Sem fonte ou data",IF(NOT(AND(LEFT(G230,8)="https://",OR(ISNUMBER(SEARCH(".gov.br",G230)),ISNUMBER(SEARCH(".leg.br",G230)),ISNUMBER(SEARCH(".jus.br",G230)),ISNUMBER(SEARCH(".mp.br",G230))))),"Sem link oficial",IF(OR(NOT(ISNUMBER(C230)),NOT(ISNUMBER(D230)),D230&lt;0,D230&gt;C230),"Valor inválido","Verificável")))))</f>
        <v/>
      </c>
    </row>
    <row r="231" customFormat="false" ht="15" hidden="false" customHeight="true" outlineLevel="0" collapsed="false">
      <c r="A231" s="15"/>
      <c r="B231" s="15"/>
      <c r="C231" s="16"/>
      <c r="D231" s="16"/>
      <c r="E231" s="17"/>
      <c r="F231" s="15"/>
      <c r="G231" s="15"/>
      <c r="H231" s="15"/>
      <c r="I231" s="15"/>
      <c r="J231" s="18" t="str">
        <f aca="false">IF(A231="","",IFERROR(INDEX(Propostas!$B:$B,MATCH(A231,Propostas!$A:$A,0)),IFERROR(INDEX('Lula 2022 (2023-2026)'!$D:$D,MATCH(A231,'Lula 2022 (2023-2026)'!$A:$A,0)),"ID inexistente")))</f>
        <v/>
      </c>
      <c r="K231" s="18" t="str">
        <f aca="false">IF(A231="","",IF(AND(ISNA(MATCH(A231,Propostas!$A:$A,0)),ISNA(MATCH(A231,'Lula 2022 (2023-2026)'!$A:$A,0))),"ID inexistente",IF(OR(F231="",NOT(ISNUMBER(E231))),"Sem fonte ou data",IF(NOT(AND(LEFT(G231,8)="https://",OR(ISNUMBER(SEARCH(".gov.br",G231)),ISNUMBER(SEARCH(".leg.br",G231)),ISNUMBER(SEARCH(".jus.br",G231)),ISNUMBER(SEARCH(".mp.br",G231))))),"Sem link oficial",IF(OR(NOT(ISNUMBER(C231)),NOT(ISNUMBER(D231)),D231&lt;0,D231&gt;C231),"Valor inválido","Verificável")))))</f>
        <v/>
      </c>
    </row>
    <row r="232" customFormat="false" ht="15" hidden="false" customHeight="true" outlineLevel="0" collapsed="false">
      <c r="A232" s="15"/>
      <c r="B232" s="15"/>
      <c r="C232" s="16"/>
      <c r="D232" s="16"/>
      <c r="E232" s="17"/>
      <c r="F232" s="15"/>
      <c r="G232" s="15"/>
      <c r="H232" s="15"/>
      <c r="I232" s="15"/>
      <c r="J232" s="18" t="str">
        <f aca="false">IF(A232="","",IFERROR(INDEX(Propostas!$B:$B,MATCH(A232,Propostas!$A:$A,0)),IFERROR(INDEX('Lula 2022 (2023-2026)'!$D:$D,MATCH(A232,'Lula 2022 (2023-2026)'!$A:$A,0)),"ID inexistente")))</f>
        <v/>
      </c>
      <c r="K232" s="18" t="str">
        <f aca="false">IF(A232="","",IF(AND(ISNA(MATCH(A232,Propostas!$A:$A,0)),ISNA(MATCH(A232,'Lula 2022 (2023-2026)'!$A:$A,0))),"ID inexistente",IF(OR(F232="",NOT(ISNUMBER(E232))),"Sem fonte ou data",IF(NOT(AND(LEFT(G232,8)="https://",OR(ISNUMBER(SEARCH(".gov.br",G232)),ISNUMBER(SEARCH(".leg.br",G232)),ISNUMBER(SEARCH(".jus.br",G232)),ISNUMBER(SEARCH(".mp.br",G232))))),"Sem link oficial",IF(OR(NOT(ISNUMBER(C232)),NOT(ISNUMBER(D232)),D232&lt;0,D232&gt;C232),"Valor inválido","Verificável")))))</f>
        <v/>
      </c>
    </row>
    <row r="233" customFormat="false" ht="15" hidden="false" customHeight="true" outlineLevel="0" collapsed="false">
      <c r="A233" s="15"/>
      <c r="B233" s="15"/>
      <c r="C233" s="16"/>
      <c r="D233" s="16"/>
      <c r="E233" s="17"/>
      <c r="F233" s="15"/>
      <c r="G233" s="15"/>
      <c r="H233" s="15"/>
      <c r="I233" s="15"/>
      <c r="J233" s="18" t="str">
        <f aca="false">IF(A233="","",IFERROR(INDEX(Propostas!$B:$B,MATCH(A233,Propostas!$A:$A,0)),IFERROR(INDEX('Lula 2022 (2023-2026)'!$D:$D,MATCH(A233,'Lula 2022 (2023-2026)'!$A:$A,0)),"ID inexistente")))</f>
        <v/>
      </c>
      <c r="K233" s="18" t="str">
        <f aca="false">IF(A233="","",IF(AND(ISNA(MATCH(A233,Propostas!$A:$A,0)),ISNA(MATCH(A233,'Lula 2022 (2023-2026)'!$A:$A,0))),"ID inexistente",IF(OR(F233="",NOT(ISNUMBER(E233))),"Sem fonte ou data",IF(NOT(AND(LEFT(G233,8)="https://",OR(ISNUMBER(SEARCH(".gov.br",G233)),ISNUMBER(SEARCH(".leg.br",G233)),ISNUMBER(SEARCH(".jus.br",G233)),ISNUMBER(SEARCH(".mp.br",G233))))),"Sem link oficial",IF(OR(NOT(ISNUMBER(C233)),NOT(ISNUMBER(D233)),D233&lt;0,D233&gt;C233),"Valor inválido","Verificável")))))</f>
        <v/>
      </c>
    </row>
    <row r="234" customFormat="false" ht="15" hidden="false" customHeight="true" outlineLevel="0" collapsed="false">
      <c r="A234" s="15"/>
      <c r="B234" s="15"/>
      <c r="C234" s="16"/>
      <c r="D234" s="16"/>
      <c r="E234" s="17"/>
      <c r="F234" s="15"/>
      <c r="G234" s="15"/>
      <c r="H234" s="15"/>
      <c r="I234" s="15"/>
      <c r="J234" s="18" t="str">
        <f aca="false">IF(A234="","",IFERROR(INDEX(Propostas!$B:$B,MATCH(A234,Propostas!$A:$A,0)),IFERROR(INDEX('Lula 2022 (2023-2026)'!$D:$D,MATCH(A234,'Lula 2022 (2023-2026)'!$A:$A,0)),"ID inexistente")))</f>
        <v/>
      </c>
      <c r="K234" s="18" t="str">
        <f aca="false">IF(A234="","",IF(AND(ISNA(MATCH(A234,Propostas!$A:$A,0)),ISNA(MATCH(A234,'Lula 2022 (2023-2026)'!$A:$A,0))),"ID inexistente",IF(OR(F234="",NOT(ISNUMBER(E234))),"Sem fonte ou data",IF(NOT(AND(LEFT(G234,8)="https://",OR(ISNUMBER(SEARCH(".gov.br",G234)),ISNUMBER(SEARCH(".leg.br",G234)),ISNUMBER(SEARCH(".jus.br",G234)),ISNUMBER(SEARCH(".mp.br",G234))))),"Sem link oficial",IF(OR(NOT(ISNUMBER(C234)),NOT(ISNUMBER(D234)),D234&lt;0,D234&gt;C234),"Valor inválido","Verificável")))))</f>
        <v/>
      </c>
    </row>
    <row r="235" customFormat="false" ht="15" hidden="false" customHeight="true" outlineLevel="0" collapsed="false">
      <c r="A235" s="15"/>
      <c r="B235" s="15"/>
      <c r="C235" s="16"/>
      <c r="D235" s="16"/>
      <c r="E235" s="17"/>
      <c r="F235" s="15"/>
      <c r="G235" s="15"/>
      <c r="H235" s="15"/>
      <c r="I235" s="15"/>
      <c r="J235" s="18" t="str">
        <f aca="false">IF(A235="","",IFERROR(INDEX(Propostas!$B:$B,MATCH(A235,Propostas!$A:$A,0)),IFERROR(INDEX('Lula 2022 (2023-2026)'!$D:$D,MATCH(A235,'Lula 2022 (2023-2026)'!$A:$A,0)),"ID inexistente")))</f>
        <v/>
      </c>
      <c r="K235" s="18" t="str">
        <f aca="false">IF(A235="","",IF(AND(ISNA(MATCH(A235,Propostas!$A:$A,0)),ISNA(MATCH(A235,'Lula 2022 (2023-2026)'!$A:$A,0))),"ID inexistente",IF(OR(F235="",NOT(ISNUMBER(E235))),"Sem fonte ou data",IF(NOT(AND(LEFT(G235,8)="https://",OR(ISNUMBER(SEARCH(".gov.br",G235)),ISNUMBER(SEARCH(".leg.br",G235)),ISNUMBER(SEARCH(".jus.br",G235)),ISNUMBER(SEARCH(".mp.br",G235))))),"Sem link oficial",IF(OR(NOT(ISNUMBER(C235)),NOT(ISNUMBER(D235)),D235&lt;0,D235&gt;C235),"Valor inválido","Verificável")))))</f>
        <v/>
      </c>
    </row>
    <row r="236" customFormat="false" ht="15" hidden="false" customHeight="true" outlineLevel="0" collapsed="false">
      <c r="A236" s="15"/>
      <c r="B236" s="15"/>
      <c r="C236" s="16"/>
      <c r="D236" s="16"/>
      <c r="E236" s="17"/>
      <c r="F236" s="15"/>
      <c r="G236" s="15"/>
      <c r="H236" s="15"/>
      <c r="I236" s="15"/>
      <c r="J236" s="18" t="str">
        <f aca="false">IF(A236="","",IFERROR(INDEX(Propostas!$B:$B,MATCH(A236,Propostas!$A:$A,0)),IFERROR(INDEX('Lula 2022 (2023-2026)'!$D:$D,MATCH(A236,'Lula 2022 (2023-2026)'!$A:$A,0)),"ID inexistente")))</f>
        <v/>
      </c>
      <c r="K236" s="18" t="str">
        <f aca="false">IF(A236="","",IF(AND(ISNA(MATCH(A236,Propostas!$A:$A,0)),ISNA(MATCH(A236,'Lula 2022 (2023-2026)'!$A:$A,0))),"ID inexistente",IF(OR(F236="",NOT(ISNUMBER(E236))),"Sem fonte ou data",IF(NOT(AND(LEFT(G236,8)="https://",OR(ISNUMBER(SEARCH(".gov.br",G236)),ISNUMBER(SEARCH(".leg.br",G236)),ISNUMBER(SEARCH(".jus.br",G236)),ISNUMBER(SEARCH(".mp.br",G236))))),"Sem link oficial",IF(OR(NOT(ISNUMBER(C236)),NOT(ISNUMBER(D236)),D236&lt;0,D236&gt;C236),"Valor inválido","Verificável")))))</f>
        <v/>
      </c>
    </row>
    <row r="237" customFormat="false" ht="15" hidden="false" customHeight="true" outlineLevel="0" collapsed="false">
      <c r="A237" s="15"/>
      <c r="B237" s="15"/>
      <c r="C237" s="16"/>
      <c r="D237" s="16"/>
      <c r="E237" s="17"/>
      <c r="F237" s="15"/>
      <c r="G237" s="15"/>
      <c r="H237" s="15"/>
      <c r="I237" s="15"/>
      <c r="J237" s="18" t="str">
        <f aca="false">IF(A237="","",IFERROR(INDEX(Propostas!$B:$B,MATCH(A237,Propostas!$A:$A,0)),IFERROR(INDEX('Lula 2022 (2023-2026)'!$D:$D,MATCH(A237,'Lula 2022 (2023-2026)'!$A:$A,0)),"ID inexistente")))</f>
        <v/>
      </c>
      <c r="K237" s="18" t="str">
        <f aca="false">IF(A237="","",IF(AND(ISNA(MATCH(A237,Propostas!$A:$A,0)),ISNA(MATCH(A237,'Lula 2022 (2023-2026)'!$A:$A,0))),"ID inexistente",IF(OR(F237="",NOT(ISNUMBER(E237))),"Sem fonte ou data",IF(NOT(AND(LEFT(G237,8)="https://",OR(ISNUMBER(SEARCH(".gov.br",G237)),ISNUMBER(SEARCH(".leg.br",G237)),ISNUMBER(SEARCH(".jus.br",G237)),ISNUMBER(SEARCH(".mp.br",G237))))),"Sem link oficial",IF(OR(NOT(ISNUMBER(C237)),NOT(ISNUMBER(D237)),D237&lt;0,D237&gt;C237),"Valor inválido","Verificável")))))</f>
        <v/>
      </c>
    </row>
    <row r="238" customFormat="false" ht="15" hidden="false" customHeight="true" outlineLevel="0" collapsed="false">
      <c r="A238" s="15"/>
      <c r="B238" s="15"/>
      <c r="C238" s="16"/>
      <c r="D238" s="16"/>
      <c r="E238" s="17"/>
      <c r="F238" s="15"/>
      <c r="G238" s="15"/>
      <c r="H238" s="15"/>
      <c r="I238" s="15"/>
      <c r="J238" s="18" t="str">
        <f aca="false">IF(A238="","",IFERROR(INDEX(Propostas!$B:$B,MATCH(A238,Propostas!$A:$A,0)),IFERROR(INDEX('Lula 2022 (2023-2026)'!$D:$D,MATCH(A238,'Lula 2022 (2023-2026)'!$A:$A,0)),"ID inexistente")))</f>
        <v/>
      </c>
      <c r="K238" s="18" t="str">
        <f aca="false">IF(A238="","",IF(AND(ISNA(MATCH(A238,Propostas!$A:$A,0)),ISNA(MATCH(A238,'Lula 2022 (2023-2026)'!$A:$A,0))),"ID inexistente",IF(OR(F238="",NOT(ISNUMBER(E238))),"Sem fonte ou data",IF(NOT(AND(LEFT(G238,8)="https://",OR(ISNUMBER(SEARCH(".gov.br",G238)),ISNUMBER(SEARCH(".leg.br",G238)),ISNUMBER(SEARCH(".jus.br",G238)),ISNUMBER(SEARCH(".mp.br",G238))))),"Sem link oficial",IF(OR(NOT(ISNUMBER(C238)),NOT(ISNUMBER(D238)),D238&lt;0,D238&gt;C238),"Valor inválido","Verificável")))))</f>
        <v/>
      </c>
    </row>
    <row r="239" customFormat="false" ht="15" hidden="false" customHeight="true" outlineLevel="0" collapsed="false">
      <c r="A239" s="15"/>
      <c r="B239" s="15"/>
      <c r="C239" s="16"/>
      <c r="D239" s="16"/>
      <c r="E239" s="17"/>
      <c r="F239" s="15"/>
      <c r="G239" s="15"/>
      <c r="H239" s="15"/>
      <c r="I239" s="15"/>
      <c r="J239" s="18" t="str">
        <f aca="false">IF(A239="","",IFERROR(INDEX(Propostas!$B:$B,MATCH(A239,Propostas!$A:$A,0)),IFERROR(INDEX('Lula 2022 (2023-2026)'!$D:$D,MATCH(A239,'Lula 2022 (2023-2026)'!$A:$A,0)),"ID inexistente")))</f>
        <v/>
      </c>
      <c r="K239" s="18" t="str">
        <f aca="false">IF(A239="","",IF(AND(ISNA(MATCH(A239,Propostas!$A:$A,0)),ISNA(MATCH(A239,'Lula 2022 (2023-2026)'!$A:$A,0))),"ID inexistente",IF(OR(F239="",NOT(ISNUMBER(E239))),"Sem fonte ou data",IF(NOT(AND(LEFT(G239,8)="https://",OR(ISNUMBER(SEARCH(".gov.br",G239)),ISNUMBER(SEARCH(".leg.br",G239)),ISNUMBER(SEARCH(".jus.br",G239)),ISNUMBER(SEARCH(".mp.br",G239))))),"Sem link oficial",IF(OR(NOT(ISNUMBER(C239)),NOT(ISNUMBER(D239)),D239&lt;0,D239&gt;C239),"Valor inválido","Verificável")))))</f>
        <v/>
      </c>
    </row>
    <row r="240" customFormat="false" ht="15" hidden="false" customHeight="true" outlineLevel="0" collapsed="false">
      <c r="A240" s="15"/>
      <c r="B240" s="15"/>
      <c r="C240" s="16"/>
      <c r="D240" s="16"/>
      <c r="E240" s="17"/>
      <c r="F240" s="15"/>
      <c r="G240" s="15"/>
      <c r="H240" s="15"/>
      <c r="I240" s="15"/>
      <c r="J240" s="18" t="str">
        <f aca="false">IF(A240="","",IFERROR(INDEX(Propostas!$B:$B,MATCH(A240,Propostas!$A:$A,0)),IFERROR(INDEX('Lula 2022 (2023-2026)'!$D:$D,MATCH(A240,'Lula 2022 (2023-2026)'!$A:$A,0)),"ID inexistente")))</f>
        <v/>
      </c>
      <c r="K240" s="18" t="str">
        <f aca="false">IF(A240="","",IF(AND(ISNA(MATCH(A240,Propostas!$A:$A,0)),ISNA(MATCH(A240,'Lula 2022 (2023-2026)'!$A:$A,0))),"ID inexistente",IF(OR(F240="",NOT(ISNUMBER(E240))),"Sem fonte ou data",IF(NOT(AND(LEFT(G240,8)="https://",OR(ISNUMBER(SEARCH(".gov.br",G240)),ISNUMBER(SEARCH(".leg.br",G240)),ISNUMBER(SEARCH(".jus.br",G240)),ISNUMBER(SEARCH(".mp.br",G240))))),"Sem link oficial",IF(OR(NOT(ISNUMBER(C240)),NOT(ISNUMBER(D240)),D240&lt;0,D240&gt;C240),"Valor inválido","Verificável")))))</f>
        <v/>
      </c>
    </row>
    <row r="241" customFormat="false" ht="15" hidden="false" customHeight="true" outlineLevel="0" collapsed="false">
      <c r="A241" s="15"/>
      <c r="B241" s="15"/>
      <c r="C241" s="16"/>
      <c r="D241" s="16"/>
      <c r="E241" s="17"/>
      <c r="F241" s="15"/>
      <c r="G241" s="15"/>
      <c r="H241" s="15"/>
      <c r="I241" s="15"/>
      <c r="J241" s="18" t="str">
        <f aca="false">IF(A241="","",IFERROR(INDEX(Propostas!$B:$B,MATCH(A241,Propostas!$A:$A,0)),IFERROR(INDEX('Lula 2022 (2023-2026)'!$D:$D,MATCH(A241,'Lula 2022 (2023-2026)'!$A:$A,0)),"ID inexistente")))</f>
        <v/>
      </c>
      <c r="K241" s="18" t="str">
        <f aca="false">IF(A241="","",IF(AND(ISNA(MATCH(A241,Propostas!$A:$A,0)),ISNA(MATCH(A241,'Lula 2022 (2023-2026)'!$A:$A,0))),"ID inexistente",IF(OR(F241="",NOT(ISNUMBER(E241))),"Sem fonte ou data",IF(NOT(AND(LEFT(G241,8)="https://",OR(ISNUMBER(SEARCH(".gov.br",G241)),ISNUMBER(SEARCH(".leg.br",G241)),ISNUMBER(SEARCH(".jus.br",G241)),ISNUMBER(SEARCH(".mp.br",G241))))),"Sem link oficial",IF(OR(NOT(ISNUMBER(C241)),NOT(ISNUMBER(D241)),D241&lt;0,D241&gt;C241),"Valor inválido","Verificável")))))</f>
        <v/>
      </c>
    </row>
    <row r="242" customFormat="false" ht="15" hidden="false" customHeight="true" outlineLevel="0" collapsed="false">
      <c r="A242" s="15"/>
      <c r="B242" s="15"/>
      <c r="C242" s="16"/>
      <c r="D242" s="16"/>
      <c r="E242" s="17"/>
      <c r="F242" s="15"/>
      <c r="G242" s="15"/>
      <c r="H242" s="15"/>
      <c r="I242" s="15"/>
      <c r="J242" s="18" t="str">
        <f aca="false">IF(A242="","",IFERROR(INDEX(Propostas!$B:$B,MATCH(A242,Propostas!$A:$A,0)),IFERROR(INDEX('Lula 2022 (2023-2026)'!$D:$D,MATCH(A242,'Lula 2022 (2023-2026)'!$A:$A,0)),"ID inexistente")))</f>
        <v/>
      </c>
      <c r="K242" s="18" t="str">
        <f aca="false">IF(A242="","",IF(AND(ISNA(MATCH(A242,Propostas!$A:$A,0)),ISNA(MATCH(A242,'Lula 2022 (2023-2026)'!$A:$A,0))),"ID inexistente",IF(OR(F242="",NOT(ISNUMBER(E242))),"Sem fonte ou data",IF(NOT(AND(LEFT(G242,8)="https://",OR(ISNUMBER(SEARCH(".gov.br",G242)),ISNUMBER(SEARCH(".leg.br",G242)),ISNUMBER(SEARCH(".jus.br",G242)),ISNUMBER(SEARCH(".mp.br",G242))))),"Sem link oficial",IF(OR(NOT(ISNUMBER(C242)),NOT(ISNUMBER(D242)),D242&lt;0,D242&gt;C242),"Valor inválido","Verificável")))))</f>
        <v/>
      </c>
    </row>
    <row r="243" customFormat="false" ht="15" hidden="false" customHeight="true" outlineLevel="0" collapsed="false">
      <c r="A243" s="15"/>
      <c r="B243" s="15"/>
      <c r="C243" s="16"/>
      <c r="D243" s="16"/>
      <c r="E243" s="17"/>
      <c r="F243" s="15"/>
      <c r="G243" s="15"/>
      <c r="H243" s="15"/>
      <c r="I243" s="15"/>
      <c r="J243" s="18" t="str">
        <f aca="false">IF(A243="","",IFERROR(INDEX(Propostas!$B:$B,MATCH(A243,Propostas!$A:$A,0)),IFERROR(INDEX('Lula 2022 (2023-2026)'!$D:$D,MATCH(A243,'Lula 2022 (2023-2026)'!$A:$A,0)),"ID inexistente")))</f>
        <v/>
      </c>
      <c r="K243" s="18" t="str">
        <f aca="false">IF(A243="","",IF(AND(ISNA(MATCH(A243,Propostas!$A:$A,0)),ISNA(MATCH(A243,'Lula 2022 (2023-2026)'!$A:$A,0))),"ID inexistente",IF(OR(F243="",NOT(ISNUMBER(E243))),"Sem fonte ou data",IF(NOT(AND(LEFT(G243,8)="https://",OR(ISNUMBER(SEARCH(".gov.br",G243)),ISNUMBER(SEARCH(".leg.br",G243)),ISNUMBER(SEARCH(".jus.br",G243)),ISNUMBER(SEARCH(".mp.br",G243))))),"Sem link oficial",IF(OR(NOT(ISNUMBER(C243)),NOT(ISNUMBER(D243)),D243&lt;0,D243&gt;C243),"Valor inválido","Verificável")))))</f>
        <v/>
      </c>
    </row>
    <row r="244" customFormat="false" ht="15" hidden="false" customHeight="true" outlineLevel="0" collapsed="false">
      <c r="A244" s="15"/>
      <c r="B244" s="15"/>
      <c r="C244" s="16"/>
      <c r="D244" s="16"/>
      <c r="E244" s="17"/>
      <c r="F244" s="15"/>
      <c r="G244" s="15"/>
      <c r="H244" s="15"/>
      <c r="I244" s="15"/>
      <c r="J244" s="18" t="str">
        <f aca="false">IF(A244="","",IFERROR(INDEX(Propostas!$B:$B,MATCH(A244,Propostas!$A:$A,0)),IFERROR(INDEX('Lula 2022 (2023-2026)'!$D:$D,MATCH(A244,'Lula 2022 (2023-2026)'!$A:$A,0)),"ID inexistente")))</f>
        <v/>
      </c>
      <c r="K244" s="18" t="str">
        <f aca="false">IF(A244="","",IF(AND(ISNA(MATCH(A244,Propostas!$A:$A,0)),ISNA(MATCH(A244,'Lula 2022 (2023-2026)'!$A:$A,0))),"ID inexistente",IF(OR(F244="",NOT(ISNUMBER(E244))),"Sem fonte ou data",IF(NOT(AND(LEFT(G244,8)="https://",OR(ISNUMBER(SEARCH(".gov.br",G244)),ISNUMBER(SEARCH(".leg.br",G244)),ISNUMBER(SEARCH(".jus.br",G244)),ISNUMBER(SEARCH(".mp.br",G244))))),"Sem link oficial",IF(OR(NOT(ISNUMBER(C244)),NOT(ISNUMBER(D244)),D244&lt;0,D244&gt;C244),"Valor inválido","Verificável")))))</f>
        <v/>
      </c>
    </row>
    <row r="245" customFormat="false" ht="15" hidden="false" customHeight="true" outlineLevel="0" collapsed="false">
      <c r="A245" s="15"/>
      <c r="B245" s="15"/>
      <c r="C245" s="16"/>
      <c r="D245" s="16"/>
      <c r="E245" s="17"/>
      <c r="F245" s="15"/>
      <c r="G245" s="15"/>
      <c r="H245" s="15"/>
      <c r="I245" s="15"/>
      <c r="J245" s="18" t="str">
        <f aca="false">IF(A245="","",IFERROR(INDEX(Propostas!$B:$B,MATCH(A245,Propostas!$A:$A,0)),IFERROR(INDEX('Lula 2022 (2023-2026)'!$D:$D,MATCH(A245,'Lula 2022 (2023-2026)'!$A:$A,0)),"ID inexistente")))</f>
        <v/>
      </c>
      <c r="K245" s="18" t="str">
        <f aca="false">IF(A245="","",IF(AND(ISNA(MATCH(A245,Propostas!$A:$A,0)),ISNA(MATCH(A245,'Lula 2022 (2023-2026)'!$A:$A,0))),"ID inexistente",IF(OR(F245="",NOT(ISNUMBER(E245))),"Sem fonte ou data",IF(NOT(AND(LEFT(G245,8)="https://",OR(ISNUMBER(SEARCH(".gov.br",G245)),ISNUMBER(SEARCH(".leg.br",G245)),ISNUMBER(SEARCH(".jus.br",G245)),ISNUMBER(SEARCH(".mp.br",G245))))),"Sem link oficial",IF(OR(NOT(ISNUMBER(C245)),NOT(ISNUMBER(D245)),D245&lt;0,D245&gt;C245),"Valor inválido","Verificável")))))</f>
        <v/>
      </c>
    </row>
    <row r="246" customFormat="false" ht="15" hidden="false" customHeight="true" outlineLevel="0" collapsed="false">
      <c r="A246" s="15"/>
      <c r="B246" s="15"/>
      <c r="C246" s="16"/>
      <c r="D246" s="16"/>
      <c r="E246" s="17"/>
      <c r="F246" s="15"/>
      <c r="G246" s="15"/>
      <c r="H246" s="15"/>
      <c r="I246" s="15"/>
      <c r="J246" s="18" t="str">
        <f aca="false">IF(A246="","",IFERROR(INDEX(Propostas!$B:$B,MATCH(A246,Propostas!$A:$A,0)),IFERROR(INDEX('Lula 2022 (2023-2026)'!$D:$D,MATCH(A246,'Lula 2022 (2023-2026)'!$A:$A,0)),"ID inexistente")))</f>
        <v/>
      </c>
      <c r="K246" s="18" t="str">
        <f aca="false">IF(A246="","",IF(AND(ISNA(MATCH(A246,Propostas!$A:$A,0)),ISNA(MATCH(A246,'Lula 2022 (2023-2026)'!$A:$A,0))),"ID inexistente",IF(OR(F246="",NOT(ISNUMBER(E246))),"Sem fonte ou data",IF(NOT(AND(LEFT(G246,8)="https://",OR(ISNUMBER(SEARCH(".gov.br",G246)),ISNUMBER(SEARCH(".leg.br",G246)),ISNUMBER(SEARCH(".jus.br",G246)),ISNUMBER(SEARCH(".mp.br",G246))))),"Sem link oficial",IF(OR(NOT(ISNUMBER(C246)),NOT(ISNUMBER(D246)),D246&lt;0,D246&gt;C246),"Valor inválido","Verificável")))))</f>
        <v/>
      </c>
    </row>
    <row r="247" customFormat="false" ht="15" hidden="false" customHeight="true" outlineLevel="0" collapsed="false">
      <c r="A247" s="15"/>
      <c r="B247" s="15"/>
      <c r="C247" s="16"/>
      <c r="D247" s="16"/>
      <c r="E247" s="17"/>
      <c r="F247" s="15"/>
      <c r="G247" s="15"/>
      <c r="H247" s="15"/>
      <c r="I247" s="15"/>
      <c r="J247" s="18" t="str">
        <f aca="false">IF(A247="","",IFERROR(INDEX(Propostas!$B:$B,MATCH(A247,Propostas!$A:$A,0)),IFERROR(INDEX('Lula 2022 (2023-2026)'!$D:$D,MATCH(A247,'Lula 2022 (2023-2026)'!$A:$A,0)),"ID inexistente")))</f>
        <v/>
      </c>
      <c r="K247" s="18" t="str">
        <f aca="false">IF(A247="","",IF(AND(ISNA(MATCH(A247,Propostas!$A:$A,0)),ISNA(MATCH(A247,'Lula 2022 (2023-2026)'!$A:$A,0))),"ID inexistente",IF(OR(F247="",NOT(ISNUMBER(E247))),"Sem fonte ou data",IF(NOT(AND(LEFT(G247,8)="https://",OR(ISNUMBER(SEARCH(".gov.br",G247)),ISNUMBER(SEARCH(".leg.br",G247)),ISNUMBER(SEARCH(".jus.br",G247)),ISNUMBER(SEARCH(".mp.br",G247))))),"Sem link oficial",IF(OR(NOT(ISNUMBER(C247)),NOT(ISNUMBER(D247)),D247&lt;0,D247&gt;C247),"Valor inválido","Verificável")))))</f>
        <v/>
      </c>
    </row>
    <row r="248" customFormat="false" ht="15" hidden="false" customHeight="true" outlineLevel="0" collapsed="false">
      <c r="A248" s="15"/>
      <c r="B248" s="15"/>
      <c r="C248" s="16"/>
      <c r="D248" s="16"/>
      <c r="E248" s="17"/>
      <c r="F248" s="15"/>
      <c r="G248" s="15"/>
      <c r="H248" s="15"/>
      <c r="I248" s="15"/>
      <c r="J248" s="18" t="str">
        <f aca="false">IF(A248="","",IFERROR(INDEX(Propostas!$B:$B,MATCH(A248,Propostas!$A:$A,0)),IFERROR(INDEX('Lula 2022 (2023-2026)'!$D:$D,MATCH(A248,'Lula 2022 (2023-2026)'!$A:$A,0)),"ID inexistente")))</f>
        <v/>
      </c>
      <c r="K248" s="18" t="str">
        <f aca="false">IF(A248="","",IF(AND(ISNA(MATCH(A248,Propostas!$A:$A,0)),ISNA(MATCH(A248,'Lula 2022 (2023-2026)'!$A:$A,0))),"ID inexistente",IF(OR(F248="",NOT(ISNUMBER(E248))),"Sem fonte ou data",IF(NOT(AND(LEFT(G248,8)="https://",OR(ISNUMBER(SEARCH(".gov.br",G248)),ISNUMBER(SEARCH(".leg.br",G248)),ISNUMBER(SEARCH(".jus.br",G248)),ISNUMBER(SEARCH(".mp.br",G248))))),"Sem link oficial",IF(OR(NOT(ISNUMBER(C248)),NOT(ISNUMBER(D248)),D248&lt;0,D248&gt;C248),"Valor inválido","Verificável")))))</f>
        <v/>
      </c>
    </row>
    <row r="249" customFormat="false" ht="15" hidden="false" customHeight="true" outlineLevel="0" collapsed="false">
      <c r="A249" s="15"/>
      <c r="B249" s="15"/>
      <c r="C249" s="16"/>
      <c r="D249" s="16"/>
      <c r="E249" s="17"/>
      <c r="F249" s="15"/>
      <c r="G249" s="15"/>
      <c r="H249" s="15"/>
      <c r="I249" s="15"/>
      <c r="J249" s="18" t="str">
        <f aca="false">IF(A249="","",IFERROR(INDEX(Propostas!$B:$B,MATCH(A249,Propostas!$A:$A,0)),IFERROR(INDEX('Lula 2022 (2023-2026)'!$D:$D,MATCH(A249,'Lula 2022 (2023-2026)'!$A:$A,0)),"ID inexistente")))</f>
        <v/>
      </c>
      <c r="K249" s="18" t="str">
        <f aca="false">IF(A249="","",IF(AND(ISNA(MATCH(A249,Propostas!$A:$A,0)),ISNA(MATCH(A249,'Lula 2022 (2023-2026)'!$A:$A,0))),"ID inexistente",IF(OR(F249="",NOT(ISNUMBER(E249))),"Sem fonte ou data",IF(NOT(AND(LEFT(G249,8)="https://",OR(ISNUMBER(SEARCH(".gov.br",G249)),ISNUMBER(SEARCH(".leg.br",G249)),ISNUMBER(SEARCH(".jus.br",G249)),ISNUMBER(SEARCH(".mp.br",G249))))),"Sem link oficial",IF(OR(NOT(ISNUMBER(C249)),NOT(ISNUMBER(D249)),D249&lt;0,D249&gt;C249),"Valor inválido","Verificável")))))</f>
        <v/>
      </c>
    </row>
    <row r="250" customFormat="false" ht="15" hidden="false" customHeight="true" outlineLevel="0" collapsed="false">
      <c r="A250" s="15"/>
      <c r="B250" s="15"/>
      <c r="C250" s="16"/>
      <c r="D250" s="16"/>
      <c r="E250" s="17"/>
      <c r="F250" s="15"/>
      <c r="G250" s="15"/>
      <c r="H250" s="15"/>
      <c r="I250" s="15"/>
      <c r="J250" s="18" t="str">
        <f aca="false">IF(A250="","",IFERROR(INDEX(Propostas!$B:$B,MATCH(A250,Propostas!$A:$A,0)),IFERROR(INDEX('Lula 2022 (2023-2026)'!$D:$D,MATCH(A250,'Lula 2022 (2023-2026)'!$A:$A,0)),"ID inexistente")))</f>
        <v/>
      </c>
      <c r="K250" s="18" t="str">
        <f aca="false">IF(A250="","",IF(AND(ISNA(MATCH(A250,Propostas!$A:$A,0)),ISNA(MATCH(A250,'Lula 2022 (2023-2026)'!$A:$A,0))),"ID inexistente",IF(OR(F250="",NOT(ISNUMBER(E250))),"Sem fonte ou data",IF(NOT(AND(LEFT(G250,8)="https://",OR(ISNUMBER(SEARCH(".gov.br",G250)),ISNUMBER(SEARCH(".leg.br",G250)),ISNUMBER(SEARCH(".jus.br",G250)),ISNUMBER(SEARCH(".mp.br",G250))))),"Sem link oficial",IF(OR(NOT(ISNUMBER(C250)),NOT(ISNUMBER(D250)),D250&lt;0,D250&gt;C250),"Valor inválido","Verificável")))))</f>
        <v/>
      </c>
    </row>
    <row r="251" customFormat="false" ht="15" hidden="false" customHeight="true" outlineLevel="0" collapsed="false">
      <c r="A251" s="15"/>
      <c r="B251" s="15"/>
      <c r="C251" s="16"/>
      <c r="D251" s="16"/>
      <c r="E251" s="17"/>
      <c r="F251" s="15"/>
      <c r="G251" s="15"/>
      <c r="H251" s="15"/>
      <c r="I251" s="15"/>
      <c r="J251" s="18" t="str">
        <f aca="false">IF(A251="","",IFERROR(INDEX(Propostas!$B:$B,MATCH(A251,Propostas!$A:$A,0)),IFERROR(INDEX('Lula 2022 (2023-2026)'!$D:$D,MATCH(A251,'Lula 2022 (2023-2026)'!$A:$A,0)),"ID inexistente")))</f>
        <v/>
      </c>
      <c r="K251" s="18" t="str">
        <f aca="false">IF(A251="","",IF(AND(ISNA(MATCH(A251,Propostas!$A:$A,0)),ISNA(MATCH(A251,'Lula 2022 (2023-2026)'!$A:$A,0))),"ID inexistente",IF(OR(F251="",NOT(ISNUMBER(E251))),"Sem fonte ou data",IF(NOT(AND(LEFT(G251,8)="https://",OR(ISNUMBER(SEARCH(".gov.br",G251)),ISNUMBER(SEARCH(".leg.br",G251)),ISNUMBER(SEARCH(".jus.br",G251)),ISNUMBER(SEARCH(".mp.br",G251))))),"Sem link oficial",IF(OR(NOT(ISNUMBER(C251)),NOT(ISNUMBER(D251)),D251&lt;0,D251&gt;C251),"Valor inválido","Verificável")))))</f>
        <v/>
      </c>
    </row>
    <row r="252" customFormat="false" ht="15" hidden="false" customHeight="true" outlineLevel="0" collapsed="false">
      <c r="A252" s="15"/>
      <c r="B252" s="15"/>
      <c r="C252" s="16"/>
      <c r="D252" s="16"/>
      <c r="E252" s="17"/>
      <c r="F252" s="15"/>
      <c r="G252" s="15"/>
      <c r="H252" s="15"/>
      <c r="I252" s="15"/>
      <c r="J252" s="18" t="str">
        <f aca="false">IF(A252="","",IFERROR(INDEX(Propostas!$B:$B,MATCH(A252,Propostas!$A:$A,0)),IFERROR(INDEX('Lula 2022 (2023-2026)'!$D:$D,MATCH(A252,'Lula 2022 (2023-2026)'!$A:$A,0)),"ID inexistente")))</f>
        <v/>
      </c>
      <c r="K252" s="18" t="str">
        <f aca="false">IF(A252="","",IF(AND(ISNA(MATCH(A252,Propostas!$A:$A,0)),ISNA(MATCH(A252,'Lula 2022 (2023-2026)'!$A:$A,0))),"ID inexistente",IF(OR(F252="",NOT(ISNUMBER(E252))),"Sem fonte ou data",IF(NOT(AND(LEFT(G252,8)="https://",OR(ISNUMBER(SEARCH(".gov.br",G252)),ISNUMBER(SEARCH(".leg.br",G252)),ISNUMBER(SEARCH(".jus.br",G252)),ISNUMBER(SEARCH(".mp.br",G252))))),"Sem link oficial",IF(OR(NOT(ISNUMBER(C252)),NOT(ISNUMBER(D252)),D252&lt;0,D252&gt;C252),"Valor inválido","Verificável")))))</f>
        <v/>
      </c>
    </row>
    <row r="253" customFormat="false" ht="15" hidden="false" customHeight="true" outlineLevel="0" collapsed="false">
      <c r="A253" s="15"/>
      <c r="B253" s="15"/>
      <c r="C253" s="16"/>
      <c r="D253" s="16"/>
      <c r="E253" s="17"/>
      <c r="F253" s="15"/>
      <c r="G253" s="15"/>
      <c r="H253" s="15"/>
      <c r="I253" s="15"/>
      <c r="J253" s="18" t="str">
        <f aca="false">IF(A253="","",IFERROR(INDEX(Propostas!$B:$B,MATCH(A253,Propostas!$A:$A,0)),IFERROR(INDEX('Lula 2022 (2023-2026)'!$D:$D,MATCH(A253,'Lula 2022 (2023-2026)'!$A:$A,0)),"ID inexistente")))</f>
        <v/>
      </c>
      <c r="K253" s="18" t="str">
        <f aca="false">IF(A253="","",IF(AND(ISNA(MATCH(A253,Propostas!$A:$A,0)),ISNA(MATCH(A253,'Lula 2022 (2023-2026)'!$A:$A,0))),"ID inexistente",IF(OR(F253="",NOT(ISNUMBER(E253))),"Sem fonte ou data",IF(NOT(AND(LEFT(G253,8)="https://",OR(ISNUMBER(SEARCH(".gov.br",G253)),ISNUMBER(SEARCH(".leg.br",G253)),ISNUMBER(SEARCH(".jus.br",G253)),ISNUMBER(SEARCH(".mp.br",G253))))),"Sem link oficial",IF(OR(NOT(ISNUMBER(C253)),NOT(ISNUMBER(D253)),D253&lt;0,D253&gt;C253),"Valor inválido","Verificável")))))</f>
        <v/>
      </c>
    </row>
    <row r="254" customFormat="false" ht="15" hidden="false" customHeight="true" outlineLevel="0" collapsed="false">
      <c r="A254" s="15"/>
      <c r="B254" s="15"/>
      <c r="C254" s="16"/>
      <c r="D254" s="16"/>
      <c r="E254" s="17"/>
      <c r="F254" s="15"/>
      <c r="G254" s="15"/>
      <c r="H254" s="15"/>
      <c r="I254" s="15"/>
      <c r="J254" s="18" t="str">
        <f aca="false">IF(A254="","",IFERROR(INDEX(Propostas!$B:$B,MATCH(A254,Propostas!$A:$A,0)),IFERROR(INDEX('Lula 2022 (2023-2026)'!$D:$D,MATCH(A254,'Lula 2022 (2023-2026)'!$A:$A,0)),"ID inexistente")))</f>
        <v/>
      </c>
      <c r="K254" s="18" t="str">
        <f aca="false">IF(A254="","",IF(AND(ISNA(MATCH(A254,Propostas!$A:$A,0)),ISNA(MATCH(A254,'Lula 2022 (2023-2026)'!$A:$A,0))),"ID inexistente",IF(OR(F254="",NOT(ISNUMBER(E254))),"Sem fonte ou data",IF(NOT(AND(LEFT(G254,8)="https://",OR(ISNUMBER(SEARCH(".gov.br",G254)),ISNUMBER(SEARCH(".leg.br",G254)),ISNUMBER(SEARCH(".jus.br",G254)),ISNUMBER(SEARCH(".mp.br",G254))))),"Sem link oficial",IF(OR(NOT(ISNUMBER(C254)),NOT(ISNUMBER(D254)),D254&lt;0,D254&gt;C254),"Valor inválido","Verificável")))))</f>
        <v/>
      </c>
    </row>
    <row r="255" customFormat="false" ht="15" hidden="false" customHeight="true" outlineLevel="0" collapsed="false">
      <c r="A255" s="15"/>
      <c r="B255" s="15"/>
      <c r="C255" s="16"/>
      <c r="D255" s="16"/>
      <c r="E255" s="17"/>
      <c r="F255" s="15"/>
      <c r="G255" s="15"/>
      <c r="H255" s="15"/>
      <c r="I255" s="15"/>
      <c r="J255" s="18" t="str">
        <f aca="false">IF(A255="","",IFERROR(INDEX(Propostas!$B:$B,MATCH(A255,Propostas!$A:$A,0)),IFERROR(INDEX('Lula 2022 (2023-2026)'!$D:$D,MATCH(A255,'Lula 2022 (2023-2026)'!$A:$A,0)),"ID inexistente")))</f>
        <v/>
      </c>
      <c r="K255" s="18" t="str">
        <f aca="false">IF(A255="","",IF(AND(ISNA(MATCH(A255,Propostas!$A:$A,0)),ISNA(MATCH(A255,'Lula 2022 (2023-2026)'!$A:$A,0))),"ID inexistente",IF(OR(F255="",NOT(ISNUMBER(E255))),"Sem fonte ou data",IF(NOT(AND(LEFT(G255,8)="https://",OR(ISNUMBER(SEARCH(".gov.br",G255)),ISNUMBER(SEARCH(".leg.br",G255)),ISNUMBER(SEARCH(".jus.br",G255)),ISNUMBER(SEARCH(".mp.br",G255))))),"Sem link oficial",IF(OR(NOT(ISNUMBER(C255)),NOT(ISNUMBER(D255)),D255&lt;0,D255&gt;C255),"Valor inválido","Verificável")))))</f>
        <v/>
      </c>
    </row>
    <row r="256" customFormat="false" ht="15" hidden="false" customHeight="true" outlineLevel="0" collapsed="false">
      <c r="A256" s="15"/>
      <c r="B256" s="15"/>
      <c r="C256" s="16"/>
      <c r="D256" s="16"/>
      <c r="E256" s="17"/>
      <c r="F256" s="15"/>
      <c r="G256" s="15"/>
      <c r="H256" s="15"/>
      <c r="I256" s="15"/>
      <c r="J256" s="18" t="str">
        <f aca="false">IF(A256="","",IFERROR(INDEX(Propostas!$B:$B,MATCH(A256,Propostas!$A:$A,0)),IFERROR(INDEX('Lula 2022 (2023-2026)'!$D:$D,MATCH(A256,'Lula 2022 (2023-2026)'!$A:$A,0)),"ID inexistente")))</f>
        <v/>
      </c>
      <c r="K256" s="18" t="str">
        <f aca="false">IF(A256="","",IF(AND(ISNA(MATCH(A256,Propostas!$A:$A,0)),ISNA(MATCH(A256,'Lula 2022 (2023-2026)'!$A:$A,0))),"ID inexistente",IF(OR(F256="",NOT(ISNUMBER(E256))),"Sem fonte ou data",IF(NOT(AND(LEFT(G256,8)="https://",OR(ISNUMBER(SEARCH(".gov.br",G256)),ISNUMBER(SEARCH(".leg.br",G256)),ISNUMBER(SEARCH(".jus.br",G256)),ISNUMBER(SEARCH(".mp.br",G256))))),"Sem link oficial",IF(OR(NOT(ISNUMBER(C256)),NOT(ISNUMBER(D256)),D256&lt;0,D256&gt;C256),"Valor inválido","Verificável")))))</f>
        <v/>
      </c>
    </row>
    <row r="257" customFormat="false" ht="15" hidden="false" customHeight="true" outlineLevel="0" collapsed="false">
      <c r="A257" s="15"/>
      <c r="B257" s="15"/>
      <c r="C257" s="16"/>
      <c r="D257" s="16"/>
      <c r="E257" s="17"/>
      <c r="F257" s="15"/>
      <c r="G257" s="15"/>
      <c r="H257" s="15"/>
      <c r="I257" s="15"/>
      <c r="J257" s="18" t="str">
        <f aca="false">IF(A257="","",IFERROR(INDEX(Propostas!$B:$B,MATCH(A257,Propostas!$A:$A,0)),IFERROR(INDEX('Lula 2022 (2023-2026)'!$D:$D,MATCH(A257,'Lula 2022 (2023-2026)'!$A:$A,0)),"ID inexistente")))</f>
        <v/>
      </c>
      <c r="K257" s="18" t="str">
        <f aca="false">IF(A257="","",IF(AND(ISNA(MATCH(A257,Propostas!$A:$A,0)),ISNA(MATCH(A257,'Lula 2022 (2023-2026)'!$A:$A,0))),"ID inexistente",IF(OR(F257="",NOT(ISNUMBER(E257))),"Sem fonte ou data",IF(NOT(AND(LEFT(G257,8)="https://",OR(ISNUMBER(SEARCH(".gov.br",G257)),ISNUMBER(SEARCH(".leg.br",G257)),ISNUMBER(SEARCH(".jus.br",G257)),ISNUMBER(SEARCH(".mp.br",G257))))),"Sem link oficial",IF(OR(NOT(ISNUMBER(C257)),NOT(ISNUMBER(D257)),D257&lt;0,D257&gt;C257),"Valor inválido","Verificável")))))</f>
        <v/>
      </c>
    </row>
    <row r="258" customFormat="false" ht="15" hidden="false" customHeight="true" outlineLevel="0" collapsed="false">
      <c r="A258" s="15"/>
      <c r="B258" s="15"/>
      <c r="C258" s="16"/>
      <c r="D258" s="16"/>
      <c r="E258" s="17"/>
      <c r="F258" s="15"/>
      <c r="G258" s="15"/>
      <c r="H258" s="15"/>
      <c r="I258" s="15"/>
      <c r="J258" s="18" t="str">
        <f aca="false">IF(A258="","",IFERROR(INDEX(Propostas!$B:$B,MATCH(A258,Propostas!$A:$A,0)),IFERROR(INDEX('Lula 2022 (2023-2026)'!$D:$D,MATCH(A258,'Lula 2022 (2023-2026)'!$A:$A,0)),"ID inexistente")))</f>
        <v/>
      </c>
      <c r="K258" s="18" t="str">
        <f aca="false">IF(A258="","",IF(AND(ISNA(MATCH(A258,Propostas!$A:$A,0)),ISNA(MATCH(A258,'Lula 2022 (2023-2026)'!$A:$A,0))),"ID inexistente",IF(OR(F258="",NOT(ISNUMBER(E258))),"Sem fonte ou data",IF(NOT(AND(LEFT(G258,8)="https://",OR(ISNUMBER(SEARCH(".gov.br",G258)),ISNUMBER(SEARCH(".leg.br",G258)),ISNUMBER(SEARCH(".jus.br",G258)),ISNUMBER(SEARCH(".mp.br",G258))))),"Sem link oficial",IF(OR(NOT(ISNUMBER(C258)),NOT(ISNUMBER(D258)),D258&lt;0,D258&gt;C258),"Valor inválido","Verificável")))))</f>
        <v/>
      </c>
    </row>
    <row r="259" customFormat="false" ht="15" hidden="false" customHeight="true" outlineLevel="0" collapsed="false">
      <c r="A259" s="15"/>
      <c r="B259" s="15"/>
      <c r="C259" s="16"/>
      <c r="D259" s="16"/>
      <c r="E259" s="17"/>
      <c r="F259" s="15"/>
      <c r="G259" s="15"/>
      <c r="H259" s="15"/>
      <c r="I259" s="15"/>
      <c r="J259" s="18" t="str">
        <f aca="false">IF(A259="","",IFERROR(INDEX(Propostas!$B:$B,MATCH(A259,Propostas!$A:$A,0)),IFERROR(INDEX('Lula 2022 (2023-2026)'!$D:$D,MATCH(A259,'Lula 2022 (2023-2026)'!$A:$A,0)),"ID inexistente")))</f>
        <v/>
      </c>
      <c r="K259" s="18" t="str">
        <f aca="false">IF(A259="","",IF(AND(ISNA(MATCH(A259,Propostas!$A:$A,0)),ISNA(MATCH(A259,'Lula 2022 (2023-2026)'!$A:$A,0))),"ID inexistente",IF(OR(F259="",NOT(ISNUMBER(E259))),"Sem fonte ou data",IF(NOT(AND(LEFT(G259,8)="https://",OR(ISNUMBER(SEARCH(".gov.br",G259)),ISNUMBER(SEARCH(".leg.br",G259)),ISNUMBER(SEARCH(".jus.br",G259)),ISNUMBER(SEARCH(".mp.br",G259))))),"Sem link oficial",IF(OR(NOT(ISNUMBER(C259)),NOT(ISNUMBER(D259)),D259&lt;0,D259&gt;C259),"Valor inválido","Verificável")))))</f>
        <v/>
      </c>
    </row>
    <row r="260" customFormat="false" ht="15" hidden="false" customHeight="true" outlineLevel="0" collapsed="false">
      <c r="A260" s="15"/>
      <c r="B260" s="15"/>
      <c r="C260" s="16"/>
      <c r="D260" s="16"/>
      <c r="E260" s="17"/>
      <c r="F260" s="15"/>
      <c r="G260" s="15"/>
      <c r="H260" s="15"/>
      <c r="I260" s="15"/>
      <c r="J260" s="18" t="str">
        <f aca="false">IF(A260="","",IFERROR(INDEX(Propostas!$B:$B,MATCH(A260,Propostas!$A:$A,0)),IFERROR(INDEX('Lula 2022 (2023-2026)'!$D:$D,MATCH(A260,'Lula 2022 (2023-2026)'!$A:$A,0)),"ID inexistente")))</f>
        <v/>
      </c>
      <c r="K260" s="18" t="str">
        <f aca="false">IF(A260="","",IF(AND(ISNA(MATCH(A260,Propostas!$A:$A,0)),ISNA(MATCH(A260,'Lula 2022 (2023-2026)'!$A:$A,0))),"ID inexistente",IF(OR(F260="",NOT(ISNUMBER(E260))),"Sem fonte ou data",IF(NOT(AND(LEFT(G260,8)="https://",OR(ISNUMBER(SEARCH(".gov.br",G260)),ISNUMBER(SEARCH(".leg.br",G260)),ISNUMBER(SEARCH(".jus.br",G260)),ISNUMBER(SEARCH(".mp.br",G260))))),"Sem link oficial",IF(OR(NOT(ISNUMBER(C260)),NOT(ISNUMBER(D260)),D260&lt;0,D260&gt;C260),"Valor inválido","Verificável")))))</f>
        <v/>
      </c>
    </row>
    <row r="261" customFormat="false" ht="15" hidden="false" customHeight="true" outlineLevel="0" collapsed="false">
      <c r="A261" s="15"/>
      <c r="B261" s="15"/>
      <c r="C261" s="16"/>
      <c r="D261" s="16"/>
      <c r="E261" s="17"/>
      <c r="F261" s="15"/>
      <c r="G261" s="15"/>
      <c r="H261" s="15"/>
      <c r="I261" s="15"/>
      <c r="J261" s="18" t="str">
        <f aca="false">IF(A261="","",IFERROR(INDEX(Propostas!$B:$B,MATCH(A261,Propostas!$A:$A,0)),IFERROR(INDEX('Lula 2022 (2023-2026)'!$D:$D,MATCH(A261,'Lula 2022 (2023-2026)'!$A:$A,0)),"ID inexistente")))</f>
        <v/>
      </c>
      <c r="K261" s="18" t="str">
        <f aca="false">IF(A261="","",IF(AND(ISNA(MATCH(A261,Propostas!$A:$A,0)),ISNA(MATCH(A261,'Lula 2022 (2023-2026)'!$A:$A,0))),"ID inexistente",IF(OR(F261="",NOT(ISNUMBER(E261))),"Sem fonte ou data",IF(NOT(AND(LEFT(G261,8)="https://",OR(ISNUMBER(SEARCH(".gov.br",G261)),ISNUMBER(SEARCH(".leg.br",G261)),ISNUMBER(SEARCH(".jus.br",G261)),ISNUMBER(SEARCH(".mp.br",G261))))),"Sem link oficial",IF(OR(NOT(ISNUMBER(C261)),NOT(ISNUMBER(D261)),D261&lt;0,D261&gt;C261),"Valor inválido","Verificável")))))</f>
        <v/>
      </c>
    </row>
    <row r="262" customFormat="false" ht="15" hidden="false" customHeight="true" outlineLevel="0" collapsed="false">
      <c r="A262" s="15"/>
      <c r="B262" s="15"/>
      <c r="C262" s="16"/>
      <c r="D262" s="16"/>
      <c r="E262" s="17"/>
      <c r="F262" s="15"/>
      <c r="G262" s="15"/>
      <c r="H262" s="15"/>
      <c r="I262" s="15"/>
      <c r="J262" s="18" t="str">
        <f aca="false">IF(A262="","",IFERROR(INDEX(Propostas!$B:$B,MATCH(A262,Propostas!$A:$A,0)),IFERROR(INDEX('Lula 2022 (2023-2026)'!$D:$D,MATCH(A262,'Lula 2022 (2023-2026)'!$A:$A,0)),"ID inexistente")))</f>
        <v/>
      </c>
      <c r="K262" s="18" t="str">
        <f aca="false">IF(A262="","",IF(AND(ISNA(MATCH(A262,Propostas!$A:$A,0)),ISNA(MATCH(A262,'Lula 2022 (2023-2026)'!$A:$A,0))),"ID inexistente",IF(OR(F262="",NOT(ISNUMBER(E262))),"Sem fonte ou data",IF(NOT(AND(LEFT(G262,8)="https://",OR(ISNUMBER(SEARCH(".gov.br",G262)),ISNUMBER(SEARCH(".leg.br",G262)),ISNUMBER(SEARCH(".jus.br",G262)),ISNUMBER(SEARCH(".mp.br",G262))))),"Sem link oficial",IF(OR(NOT(ISNUMBER(C262)),NOT(ISNUMBER(D262)),D262&lt;0,D262&gt;C262),"Valor inválido","Verificável")))))</f>
        <v/>
      </c>
    </row>
    <row r="263" customFormat="false" ht="15" hidden="false" customHeight="true" outlineLevel="0" collapsed="false">
      <c r="A263" s="15"/>
      <c r="B263" s="15"/>
      <c r="C263" s="16"/>
      <c r="D263" s="16"/>
      <c r="E263" s="17"/>
      <c r="F263" s="15"/>
      <c r="G263" s="15"/>
      <c r="H263" s="15"/>
      <c r="I263" s="15"/>
      <c r="J263" s="18" t="str">
        <f aca="false">IF(A263="","",IFERROR(INDEX(Propostas!$B:$B,MATCH(A263,Propostas!$A:$A,0)),IFERROR(INDEX('Lula 2022 (2023-2026)'!$D:$D,MATCH(A263,'Lula 2022 (2023-2026)'!$A:$A,0)),"ID inexistente")))</f>
        <v/>
      </c>
      <c r="K263" s="18" t="str">
        <f aca="false">IF(A263="","",IF(AND(ISNA(MATCH(A263,Propostas!$A:$A,0)),ISNA(MATCH(A263,'Lula 2022 (2023-2026)'!$A:$A,0))),"ID inexistente",IF(OR(F263="",NOT(ISNUMBER(E263))),"Sem fonte ou data",IF(NOT(AND(LEFT(G263,8)="https://",OR(ISNUMBER(SEARCH(".gov.br",G263)),ISNUMBER(SEARCH(".leg.br",G263)),ISNUMBER(SEARCH(".jus.br",G263)),ISNUMBER(SEARCH(".mp.br",G263))))),"Sem link oficial",IF(OR(NOT(ISNUMBER(C263)),NOT(ISNUMBER(D263)),D263&lt;0,D263&gt;C263),"Valor inválido","Verificável")))))</f>
        <v/>
      </c>
    </row>
    <row r="264" customFormat="false" ht="15" hidden="false" customHeight="true" outlineLevel="0" collapsed="false">
      <c r="A264" s="15"/>
      <c r="B264" s="15"/>
      <c r="C264" s="16"/>
      <c r="D264" s="16"/>
      <c r="E264" s="17"/>
      <c r="F264" s="15"/>
      <c r="G264" s="15"/>
      <c r="H264" s="15"/>
      <c r="I264" s="15"/>
      <c r="J264" s="18" t="str">
        <f aca="false">IF(A264="","",IFERROR(INDEX(Propostas!$B:$B,MATCH(A264,Propostas!$A:$A,0)),IFERROR(INDEX('Lula 2022 (2023-2026)'!$D:$D,MATCH(A264,'Lula 2022 (2023-2026)'!$A:$A,0)),"ID inexistente")))</f>
        <v/>
      </c>
      <c r="K264" s="18" t="str">
        <f aca="false">IF(A264="","",IF(AND(ISNA(MATCH(A264,Propostas!$A:$A,0)),ISNA(MATCH(A264,'Lula 2022 (2023-2026)'!$A:$A,0))),"ID inexistente",IF(OR(F264="",NOT(ISNUMBER(E264))),"Sem fonte ou data",IF(NOT(AND(LEFT(G264,8)="https://",OR(ISNUMBER(SEARCH(".gov.br",G264)),ISNUMBER(SEARCH(".leg.br",G264)),ISNUMBER(SEARCH(".jus.br",G264)),ISNUMBER(SEARCH(".mp.br",G264))))),"Sem link oficial",IF(OR(NOT(ISNUMBER(C264)),NOT(ISNUMBER(D264)),D264&lt;0,D264&gt;C264),"Valor inválido","Verificável")))))</f>
        <v/>
      </c>
    </row>
    <row r="265" customFormat="false" ht="15" hidden="false" customHeight="true" outlineLevel="0" collapsed="false">
      <c r="A265" s="15"/>
      <c r="B265" s="15"/>
      <c r="C265" s="16"/>
      <c r="D265" s="16"/>
      <c r="E265" s="17"/>
      <c r="F265" s="15"/>
      <c r="G265" s="15"/>
      <c r="H265" s="15"/>
      <c r="I265" s="15"/>
      <c r="J265" s="18" t="str">
        <f aca="false">IF(A265="","",IFERROR(INDEX(Propostas!$B:$B,MATCH(A265,Propostas!$A:$A,0)),IFERROR(INDEX('Lula 2022 (2023-2026)'!$D:$D,MATCH(A265,'Lula 2022 (2023-2026)'!$A:$A,0)),"ID inexistente")))</f>
        <v/>
      </c>
      <c r="K265" s="18" t="str">
        <f aca="false">IF(A265="","",IF(AND(ISNA(MATCH(A265,Propostas!$A:$A,0)),ISNA(MATCH(A265,'Lula 2022 (2023-2026)'!$A:$A,0))),"ID inexistente",IF(OR(F265="",NOT(ISNUMBER(E265))),"Sem fonte ou data",IF(NOT(AND(LEFT(G265,8)="https://",OR(ISNUMBER(SEARCH(".gov.br",G265)),ISNUMBER(SEARCH(".leg.br",G265)),ISNUMBER(SEARCH(".jus.br",G265)),ISNUMBER(SEARCH(".mp.br",G265))))),"Sem link oficial",IF(OR(NOT(ISNUMBER(C265)),NOT(ISNUMBER(D265)),D265&lt;0,D265&gt;C265),"Valor inválido","Verificável")))))</f>
        <v/>
      </c>
    </row>
    <row r="266" customFormat="false" ht="15" hidden="false" customHeight="true" outlineLevel="0" collapsed="false">
      <c r="A266" s="15"/>
      <c r="B266" s="15"/>
      <c r="C266" s="16"/>
      <c r="D266" s="16"/>
      <c r="E266" s="17"/>
      <c r="F266" s="15"/>
      <c r="G266" s="15"/>
      <c r="H266" s="15"/>
      <c r="I266" s="15"/>
      <c r="J266" s="18" t="str">
        <f aca="false">IF(A266="","",IFERROR(INDEX(Propostas!$B:$B,MATCH(A266,Propostas!$A:$A,0)),IFERROR(INDEX('Lula 2022 (2023-2026)'!$D:$D,MATCH(A266,'Lula 2022 (2023-2026)'!$A:$A,0)),"ID inexistente")))</f>
        <v/>
      </c>
      <c r="K266" s="18" t="str">
        <f aca="false">IF(A266="","",IF(AND(ISNA(MATCH(A266,Propostas!$A:$A,0)),ISNA(MATCH(A266,'Lula 2022 (2023-2026)'!$A:$A,0))),"ID inexistente",IF(OR(F266="",NOT(ISNUMBER(E266))),"Sem fonte ou data",IF(NOT(AND(LEFT(G266,8)="https://",OR(ISNUMBER(SEARCH(".gov.br",G266)),ISNUMBER(SEARCH(".leg.br",G266)),ISNUMBER(SEARCH(".jus.br",G266)),ISNUMBER(SEARCH(".mp.br",G266))))),"Sem link oficial",IF(OR(NOT(ISNUMBER(C266)),NOT(ISNUMBER(D266)),D266&lt;0,D266&gt;C266),"Valor inválido","Verificável")))))</f>
        <v/>
      </c>
    </row>
    <row r="267" customFormat="false" ht="15" hidden="false" customHeight="true" outlineLevel="0" collapsed="false">
      <c r="A267" s="15"/>
      <c r="B267" s="15"/>
      <c r="C267" s="16"/>
      <c r="D267" s="16"/>
      <c r="E267" s="17"/>
      <c r="F267" s="15"/>
      <c r="G267" s="15"/>
      <c r="H267" s="15"/>
      <c r="I267" s="15"/>
      <c r="J267" s="18" t="str">
        <f aca="false">IF(A267="","",IFERROR(INDEX(Propostas!$B:$B,MATCH(A267,Propostas!$A:$A,0)),IFERROR(INDEX('Lula 2022 (2023-2026)'!$D:$D,MATCH(A267,'Lula 2022 (2023-2026)'!$A:$A,0)),"ID inexistente")))</f>
        <v/>
      </c>
      <c r="K267" s="18" t="str">
        <f aca="false">IF(A267="","",IF(AND(ISNA(MATCH(A267,Propostas!$A:$A,0)),ISNA(MATCH(A267,'Lula 2022 (2023-2026)'!$A:$A,0))),"ID inexistente",IF(OR(F267="",NOT(ISNUMBER(E267))),"Sem fonte ou data",IF(NOT(AND(LEFT(G267,8)="https://",OR(ISNUMBER(SEARCH(".gov.br",G267)),ISNUMBER(SEARCH(".leg.br",G267)),ISNUMBER(SEARCH(".jus.br",G267)),ISNUMBER(SEARCH(".mp.br",G267))))),"Sem link oficial",IF(OR(NOT(ISNUMBER(C267)),NOT(ISNUMBER(D267)),D267&lt;0,D267&gt;C267),"Valor inválido","Verificável")))))</f>
        <v/>
      </c>
    </row>
    <row r="268" customFormat="false" ht="15" hidden="false" customHeight="true" outlineLevel="0" collapsed="false">
      <c r="A268" s="15"/>
      <c r="B268" s="15"/>
      <c r="C268" s="16"/>
      <c r="D268" s="16"/>
      <c r="E268" s="17"/>
      <c r="F268" s="15"/>
      <c r="G268" s="15"/>
      <c r="H268" s="15"/>
      <c r="I268" s="15"/>
      <c r="J268" s="18" t="str">
        <f aca="false">IF(A268="","",IFERROR(INDEX(Propostas!$B:$B,MATCH(A268,Propostas!$A:$A,0)),IFERROR(INDEX('Lula 2022 (2023-2026)'!$D:$D,MATCH(A268,'Lula 2022 (2023-2026)'!$A:$A,0)),"ID inexistente")))</f>
        <v/>
      </c>
      <c r="K268" s="18" t="str">
        <f aca="false">IF(A268="","",IF(AND(ISNA(MATCH(A268,Propostas!$A:$A,0)),ISNA(MATCH(A268,'Lula 2022 (2023-2026)'!$A:$A,0))),"ID inexistente",IF(OR(F268="",NOT(ISNUMBER(E268))),"Sem fonte ou data",IF(NOT(AND(LEFT(G268,8)="https://",OR(ISNUMBER(SEARCH(".gov.br",G268)),ISNUMBER(SEARCH(".leg.br",G268)),ISNUMBER(SEARCH(".jus.br",G268)),ISNUMBER(SEARCH(".mp.br",G268))))),"Sem link oficial",IF(OR(NOT(ISNUMBER(C268)),NOT(ISNUMBER(D268)),D268&lt;0,D268&gt;C268),"Valor inválido","Verificável")))))</f>
        <v/>
      </c>
    </row>
    <row r="269" customFormat="false" ht="15" hidden="false" customHeight="true" outlineLevel="0" collapsed="false">
      <c r="A269" s="15"/>
      <c r="B269" s="15"/>
      <c r="C269" s="16"/>
      <c r="D269" s="16"/>
      <c r="E269" s="17"/>
      <c r="F269" s="15"/>
      <c r="G269" s="15"/>
      <c r="H269" s="15"/>
      <c r="I269" s="15"/>
      <c r="J269" s="18" t="str">
        <f aca="false">IF(A269="","",IFERROR(INDEX(Propostas!$B:$B,MATCH(A269,Propostas!$A:$A,0)),IFERROR(INDEX('Lula 2022 (2023-2026)'!$D:$D,MATCH(A269,'Lula 2022 (2023-2026)'!$A:$A,0)),"ID inexistente")))</f>
        <v/>
      </c>
      <c r="K269" s="18" t="str">
        <f aca="false">IF(A269="","",IF(AND(ISNA(MATCH(A269,Propostas!$A:$A,0)),ISNA(MATCH(A269,'Lula 2022 (2023-2026)'!$A:$A,0))),"ID inexistente",IF(OR(F269="",NOT(ISNUMBER(E269))),"Sem fonte ou data",IF(NOT(AND(LEFT(G269,8)="https://",OR(ISNUMBER(SEARCH(".gov.br",G269)),ISNUMBER(SEARCH(".leg.br",G269)),ISNUMBER(SEARCH(".jus.br",G269)),ISNUMBER(SEARCH(".mp.br",G269))))),"Sem link oficial",IF(OR(NOT(ISNUMBER(C269)),NOT(ISNUMBER(D269)),D269&lt;0,D269&gt;C269),"Valor inválido","Verificável")))))</f>
        <v/>
      </c>
    </row>
    <row r="270" customFormat="false" ht="15" hidden="false" customHeight="true" outlineLevel="0" collapsed="false">
      <c r="A270" s="15"/>
      <c r="B270" s="15"/>
      <c r="C270" s="16"/>
      <c r="D270" s="16"/>
      <c r="E270" s="17"/>
      <c r="F270" s="15"/>
      <c r="G270" s="15"/>
      <c r="H270" s="15"/>
      <c r="I270" s="15"/>
      <c r="J270" s="18" t="str">
        <f aca="false">IF(A270="","",IFERROR(INDEX(Propostas!$B:$B,MATCH(A270,Propostas!$A:$A,0)),IFERROR(INDEX('Lula 2022 (2023-2026)'!$D:$D,MATCH(A270,'Lula 2022 (2023-2026)'!$A:$A,0)),"ID inexistente")))</f>
        <v/>
      </c>
      <c r="K270" s="18" t="str">
        <f aca="false">IF(A270="","",IF(AND(ISNA(MATCH(A270,Propostas!$A:$A,0)),ISNA(MATCH(A270,'Lula 2022 (2023-2026)'!$A:$A,0))),"ID inexistente",IF(OR(F270="",NOT(ISNUMBER(E270))),"Sem fonte ou data",IF(NOT(AND(LEFT(G270,8)="https://",OR(ISNUMBER(SEARCH(".gov.br",G270)),ISNUMBER(SEARCH(".leg.br",G270)),ISNUMBER(SEARCH(".jus.br",G270)),ISNUMBER(SEARCH(".mp.br",G270))))),"Sem link oficial",IF(OR(NOT(ISNUMBER(C270)),NOT(ISNUMBER(D270)),D270&lt;0,D270&gt;C270),"Valor inválido","Verificável")))))</f>
        <v/>
      </c>
    </row>
    <row r="271" customFormat="false" ht="15" hidden="false" customHeight="true" outlineLevel="0" collapsed="false">
      <c r="A271" s="15"/>
      <c r="B271" s="15"/>
      <c r="C271" s="16"/>
      <c r="D271" s="16"/>
      <c r="E271" s="17"/>
      <c r="F271" s="15"/>
      <c r="G271" s="15"/>
      <c r="H271" s="15"/>
      <c r="I271" s="15"/>
      <c r="J271" s="18" t="str">
        <f aca="false">IF(A271="","",IFERROR(INDEX(Propostas!$B:$B,MATCH(A271,Propostas!$A:$A,0)),IFERROR(INDEX('Lula 2022 (2023-2026)'!$D:$D,MATCH(A271,'Lula 2022 (2023-2026)'!$A:$A,0)),"ID inexistente")))</f>
        <v/>
      </c>
      <c r="K271" s="18" t="str">
        <f aca="false">IF(A271="","",IF(AND(ISNA(MATCH(A271,Propostas!$A:$A,0)),ISNA(MATCH(A271,'Lula 2022 (2023-2026)'!$A:$A,0))),"ID inexistente",IF(OR(F271="",NOT(ISNUMBER(E271))),"Sem fonte ou data",IF(NOT(AND(LEFT(G271,8)="https://",OR(ISNUMBER(SEARCH(".gov.br",G271)),ISNUMBER(SEARCH(".leg.br",G271)),ISNUMBER(SEARCH(".jus.br",G271)),ISNUMBER(SEARCH(".mp.br",G271))))),"Sem link oficial",IF(OR(NOT(ISNUMBER(C271)),NOT(ISNUMBER(D271)),D271&lt;0,D271&gt;C271),"Valor inválido","Verificável")))))</f>
        <v/>
      </c>
    </row>
    <row r="272" customFormat="false" ht="15" hidden="false" customHeight="true" outlineLevel="0" collapsed="false">
      <c r="A272" s="15"/>
      <c r="B272" s="15"/>
      <c r="C272" s="16"/>
      <c r="D272" s="16"/>
      <c r="E272" s="17"/>
      <c r="F272" s="15"/>
      <c r="G272" s="15"/>
      <c r="H272" s="15"/>
      <c r="I272" s="15"/>
      <c r="J272" s="18" t="str">
        <f aca="false">IF(A272="","",IFERROR(INDEX(Propostas!$B:$B,MATCH(A272,Propostas!$A:$A,0)),IFERROR(INDEX('Lula 2022 (2023-2026)'!$D:$D,MATCH(A272,'Lula 2022 (2023-2026)'!$A:$A,0)),"ID inexistente")))</f>
        <v/>
      </c>
      <c r="K272" s="18" t="str">
        <f aca="false">IF(A272="","",IF(AND(ISNA(MATCH(A272,Propostas!$A:$A,0)),ISNA(MATCH(A272,'Lula 2022 (2023-2026)'!$A:$A,0))),"ID inexistente",IF(OR(F272="",NOT(ISNUMBER(E272))),"Sem fonte ou data",IF(NOT(AND(LEFT(G272,8)="https://",OR(ISNUMBER(SEARCH(".gov.br",G272)),ISNUMBER(SEARCH(".leg.br",G272)),ISNUMBER(SEARCH(".jus.br",G272)),ISNUMBER(SEARCH(".mp.br",G272))))),"Sem link oficial",IF(OR(NOT(ISNUMBER(C272)),NOT(ISNUMBER(D272)),D272&lt;0,D272&gt;C272),"Valor inválido","Verificável")))))</f>
        <v/>
      </c>
    </row>
    <row r="273" customFormat="false" ht="15" hidden="false" customHeight="true" outlineLevel="0" collapsed="false">
      <c r="A273" s="15"/>
      <c r="B273" s="15"/>
      <c r="C273" s="16"/>
      <c r="D273" s="16"/>
      <c r="E273" s="17"/>
      <c r="F273" s="15"/>
      <c r="G273" s="15"/>
      <c r="H273" s="15"/>
      <c r="I273" s="15"/>
      <c r="J273" s="18" t="str">
        <f aca="false">IF(A273="","",IFERROR(INDEX(Propostas!$B:$B,MATCH(A273,Propostas!$A:$A,0)),IFERROR(INDEX('Lula 2022 (2023-2026)'!$D:$D,MATCH(A273,'Lula 2022 (2023-2026)'!$A:$A,0)),"ID inexistente")))</f>
        <v/>
      </c>
      <c r="K273" s="18" t="str">
        <f aca="false">IF(A273="","",IF(AND(ISNA(MATCH(A273,Propostas!$A:$A,0)),ISNA(MATCH(A273,'Lula 2022 (2023-2026)'!$A:$A,0))),"ID inexistente",IF(OR(F273="",NOT(ISNUMBER(E273))),"Sem fonte ou data",IF(NOT(AND(LEFT(G273,8)="https://",OR(ISNUMBER(SEARCH(".gov.br",G273)),ISNUMBER(SEARCH(".leg.br",G273)),ISNUMBER(SEARCH(".jus.br",G273)),ISNUMBER(SEARCH(".mp.br",G273))))),"Sem link oficial",IF(OR(NOT(ISNUMBER(C273)),NOT(ISNUMBER(D273)),D273&lt;0,D273&gt;C273),"Valor inválido","Verificável")))))</f>
        <v/>
      </c>
    </row>
    <row r="274" customFormat="false" ht="15" hidden="false" customHeight="true" outlineLevel="0" collapsed="false">
      <c r="A274" s="15"/>
      <c r="B274" s="15"/>
      <c r="C274" s="16"/>
      <c r="D274" s="16"/>
      <c r="E274" s="17"/>
      <c r="F274" s="15"/>
      <c r="G274" s="15"/>
      <c r="H274" s="15"/>
      <c r="I274" s="15"/>
      <c r="J274" s="18" t="str">
        <f aca="false">IF(A274="","",IFERROR(INDEX(Propostas!$B:$B,MATCH(A274,Propostas!$A:$A,0)),IFERROR(INDEX('Lula 2022 (2023-2026)'!$D:$D,MATCH(A274,'Lula 2022 (2023-2026)'!$A:$A,0)),"ID inexistente")))</f>
        <v/>
      </c>
      <c r="K274" s="18" t="str">
        <f aca="false">IF(A274="","",IF(AND(ISNA(MATCH(A274,Propostas!$A:$A,0)),ISNA(MATCH(A274,'Lula 2022 (2023-2026)'!$A:$A,0))),"ID inexistente",IF(OR(F274="",NOT(ISNUMBER(E274))),"Sem fonte ou data",IF(NOT(AND(LEFT(G274,8)="https://",OR(ISNUMBER(SEARCH(".gov.br",G274)),ISNUMBER(SEARCH(".leg.br",G274)),ISNUMBER(SEARCH(".jus.br",G274)),ISNUMBER(SEARCH(".mp.br",G274))))),"Sem link oficial",IF(OR(NOT(ISNUMBER(C274)),NOT(ISNUMBER(D274)),D274&lt;0,D274&gt;C274),"Valor inválido","Verificável")))))</f>
        <v/>
      </c>
    </row>
    <row r="275" customFormat="false" ht="15" hidden="false" customHeight="true" outlineLevel="0" collapsed="false">
      <c r="A275" s="15"/>
      <c r="B275" s="15"/>
      <c r="C275" s="16"/>
      <c r="D275" s="16"/>
      <c r="E275" s="17"/>
      <c r="F275" s="15"/>
      <c r="G275" s="15"/>
      <c r="H275" s="15"/>
      <c r="I275" s="15"/>
      <c r="J275" s="18" t="str">
        <f aca="false">IF(A275="","",IFERROR(INDEX(Propostas!$B:$B,MATCH(A275,Propostas!$A:$A,0)),IFERROR(INDEX('Lula 2022 (2023-2026)'!$D:$D,MATCH(A275,'Lula 2022 (2023-2026)'!$A:$A,0)),"ID inexistente")))</f>
        <v/>
      </c>
      <c r="K275" s="18" t="str">
        <f aca="false">IF(A275="","",IF(AND(ISNA(MATCH(A275,Propostas!$A:$A,0)),ISNA(MATCH(A275,'Lula 2022 (2023-2026)'!$A:$A,0))),"ID inexistente",IF(OR(F275="",NOT(ISNUMBER(E275))),"Sem fonte ou data",IF(NOT(AND(LEFT(G275,8)="https://",OR(ISNUMBER(SEARCH(".gov.br",G275)),ISNUMBER(SEARCH(".leg.br",G275)),ISNUMBER(SEARCH(".jus.br",G275)),ISNUMBER(SEARCH(".mp.br",G275))))),"Sem link oficial",IF(OR(NOT(ISNUMBER(C275)),NOT(ISNUMBER(D275)),D275&lt;0,D275&gt;C275),"Valor inválido","Verificável")))))</f>
        <v/>
      </c>
    </row>
    <row r="276" customFormat="false" ht="15" hidden="false" customHeight="true" outlineLevel="0" collapsed="false">
      <c r="A276" s="15"/>
      <c r="B276" s="15"/>
      <c r="C276" s="16"/>
      <c r="D276" s="16"/>
      <c r="E276" s="17"/>
      <c r="F276" s="15"/>
      <c r="G276" s="15"/>
      <c r="H276" s="15"/>
      <c r="I276" s="15"/>
      <c r="J276" s="18" t="str">
        <f aca="false">IF(A276="","",IFERROR(INDEX(Propostas!$B:$B,MATCH(A276,Propostas!$A:$A,0)),IFERROR(INDEX('Lula 2022 (2023-2026)'!$D:$D,MATCH(A276,'Lula 2022 (2023-2026)'!$A:$A,0)),"ID inexistente")))</f>
        <v/>
      </c>
      <c r="K276" s="18" t="str">
        <f aca="false">IF(A276="","",IF(AND(ISNA(MATCH(A276,Propostas!$A:$A,0)),ISNA(MATCH(A276,'Lula 2022 (2023-2026)'!$A:$A,0))),"ID inexistente",IF(OR(F276="",NOT(ISNUMBER(E276))),"Sem fonte ou data",IF(NOT(AND(LEFT(G276,8)="https://",OR(ISNUMBER(SEARCH(".gov.br",G276)),ISNUMBER(SEARCH(".leg.br",G276)),ISNUMBER(SEARCH(".jus.br",G276)),ISNUMBER(SEARCH(".mp.br",G276))))),"Sem link oficial",IF(OR(NOT(ISNUMBER(C276)),NOT(ISNUMBER(D276)),D276&lt;0,D276&gt;C276),"Valor inválido","Verificável")))))</f>
        <v/>
      </c>
    </row>
    <row r="277" customFormat="false" ht="15" hidden="false" customHeight="true" outlineLevel="0" collapsed="false">
      <c r="A277" s="15"/>
      <c r="B277" s="15"/>
      <c r="C277" s="16"/>
      <c r="D277" s="16"/>
      <c r="E277" s="17"/>
      <c r="F277" s="15"/>
      <c r="G277" s="15"/>
      <c r="H277" s="15"/>
      <c r="I277" s="15"/>
      <c r="J277" s="18" t="str">
        <f aca="false">IF(A277="","",IFERROR(INDEX(Propostas!$B:$B,MATCH(A277,Propostas!$A:$A,0)),IFERROR(INDEX('Lula 2022 (2023-2026)'!$D:$D,MATCH(A277,'Lula 2022 (2023-2026)'!$A:$A,0)),"ID inexistente")))</f>
        <v/>
      </c>
      <c r="K277" s="18" t="str">
        <f aca="false">IF(A277="","",IF(AND(ISNA(MATCH(A277,Propostas!$A:$A,0)),ISNA(MATCH(A277,'Lula 2022 (2023-2026)'!$A:$A,0))),"ID inexistente",IF(OR(F277="",NOT(ISNUMBER(E277))),"Sem fonte ou data",IF(NOT(AND(LEFT(G277,8)="https://",OR(ISNUMBER(SEARCH(".gov.br",G277)),ISNUMBER(SEARCH(".leg.br",G277)),ISNUMBER(SEARCH(".jus.br",G277)),ISNUMBER(SEARCH(".mp.br",G277))))),"Sem link oficial",IF(OR(NOT(ISNUMBER(C277)),NOT(ISNUMBER(D277)),D277&lt;0,D277&gt;C277),"Valor inválido","Verificável")))))</f>
        <v/>
      </c>
    </row>
    <row r="278" customFormat="false" ht="15" hidden="false" customHeight="true" outlineLevel="0" collapsed="false">
      <c r="A278" s="15"/>
      <c r="B278" s="15"/>
      <c r="C278" s="16"/>
      <c r="D278" s="16"/>
      <c r="E278" s="17"/>
      <c r="F278" s="15"/>
      <c r="G278" s="15"/>
      <c r="H278" s="15"/>
      <c r="I278" s="15"/>
      <c r="J278" s="18" t="str">
        <f aca="false">IF(A278="","",IFERROR(INDEX(Propostas!$B:$B,MATCH(A278,Propostas!$A:$A,0)),IFERROR(INDEX('Lula 2022 (2023-2026)'!$D:$D,MATCH(A278,'Lula 2022 (2023-2026)'!$A:$A,0)),"ID inexistente")))</f>
        <v/>
      </c>
      <c r="K278" s="18" t="str">
        <f aca="false">IF(A278="","",IF(AND(ISNA(MATCH(A278,Propostas!$A:$A,0)),ISNA(MATCH(A278,'Lula 2022 (2023-2026)'!$A:$A,0))),"ID inexistente",IF(OR(F278="",NOT(ISNUMBER(E278))),"Sem fonte ou data",IF(NOT(AND(LEFT(G278,8)="https://",OR(ISNUMBER(SEARCH(".gov.br",G278)),ISNUMBER(SEARCH(".leg.br",G278)),ISNUMBER(SEARCH(".jus.br",G278)),ISNUMBER(SEARCH(".mp.br",G278))))),"Sem link oficial",IF(OR(NOT(ISNUMBER(C278)),NOT(ISNUMBER(D278)),D278&lt;0,D278&gt;C278),"Valor inválido","Verificável")))))</f>
        <v/>
      </c>
    </row>
    <row r="279" customFormat="false" ht="15" hidden="false" customHeight="true" outlineLevel="0" collapsed="false">
      <c r="A279" s="15"/>
      <c r="B279" s="15"/>
      <c r="C279" s="16"/>
      <c r="D279" s="16"/>
      <c r="E279" s="17"/>
      <c r="F279" s="15"/>
      <c r="G279" s="15"/>
      <c r="H279" s="15"/>
      <c r="I279" s="15"/>
      <c r="J279" s="18" t="str">
        <f aca="false">IF(A279="","",IFERROR(INDEX(Propostas!$B:$B,MATCH(A279,Propostas!$A:$A,0)),IFERROR(INDEX('Lula 2022 (2023-2026)'!$D:$D,MATCH(A279,'Lula 2022 (2023-2026)'!$A:$A,0)),"ID inexistente")))</f>
        <v/>
      </c>
      <c r="K279" s="18" t="str">
        <f aca="false">IF(A279="","",IF(AND(ISNA(MATCH(A279,Propostas!$A:$A,0)),ISNA(MATCH(A279,'Lula 2022 (2023-2026)'!$A:$A,0))),"ID inexistente",IF(OR(F279="",NOT(ISNUMBER(E279))),"Sem fonte ou data",IF(NOT(AND(LEFT(G279,8)="https://",OR(ISNUMBER(SEARCH(".gov.br",G279)),ISNUMBER(SEARCH(".leg.br",G279)),ISNUMBER(SEARCH(".jus.br",G279)),ISNUMBER(SEARCH(".mp.br",G279))))),"Sem link oficial",IF(OR(NOT(ISNUMBER(C279)),NOT(ISNUMBER(D279)),D279&lt;0,D279&gt;C279),"Valor inválido","Verificável")))))</f>
        <v/>
      </c>
    </row>
    <row r="280" customFormat="false" ht="15" hidden="false" customHeight="true" outlineLevel="0" collapsed="false">
      <c r="A280" s="15"/>
      <c r="B280" s="15"/>
      <c r="C280" s="16"/>
      <c r="D280" s="16"/>
      <c r="E280" s="17"/>
      <c r="F280" s="15"/>
      <c r="G280" s="15"/>
      <c r="H280" s="15"/>
      <c r="I280" s="15"/>
      <c r="J280" s="18" t="str">
        <f aca="false">IF(A280="","",IFERROR(INDEX(Propostas!$B:$B,MATCH(A280,Propostas!$A:$A,0)),IFERROR(INDEX('Lula 2022 (2023-2026)'!$D:$D,MATCH(A280,'Lula 2022 (2023-2026)'!$A:$A,0)),"ID inexistente")))</f>
        <v/>
      </c>
      <c r="K280" s="18" t="str">
        <f aca="false">IF(A280="","",IF(AND(ISNA(MATCH(A280,Propostas!$A:$A,0)),ISNA(MATCH(A280,'Lula 2022 (2023-2026)'!$A:$A,0))),"ID inexistente",IF(OR(F280="",NOT(ISNUMBER(E280))),"Sem fonte ou data",IF(NOT(AND(LEFT(G280,8)="https://",OR(ISNUMBER(SEARCH(".gov.br",G280)),ISNUMBER(SEARCH(".leg.br",G280)),ISNUMBER(SEARCH(".jus.br",G280)),ISNUMBER(SEARCH(".mp.br",G280))))),"Sem link oficial",IF(OR(NOT(ISNUMBER(C280)),NOT(ISNUMBER(D280)),D280&lt;0,D280&gt;C280),"Valor inválido","Verificável")))))</f>
        <v/>
      </c>
    </row>
    <row r="281" customFormat="false" ht="15" hidden="false" customHeight="true" outlineLevel="0" collapsed="false">
      <c r="A281" s="15"/>
      <c r="B281" s="15"/>
      <c r="C281" s="16"/>
      <c r="D281" s="16"/>
      <c r="E281" s="17"/>
      <c r="F281" s="15"/>
      <c r="G281" s="15"/>
      <c r="H281" s="15"/>
      <c r="I281" s="15"/>
      <c r="J281" s="18" t="str">
        <f aca="false">IF(A281="","",IFERROR(INDEX(Propostas!$B:$B,MATCH(A281,Propostas!$A:$A,0)),IFERROR(INDEX('Lula 2022 (2023-2026)'!$D:$D,MATCH(A281,'Lula 2022 (2023-2026)'!$A:$A,0)),"ID inexistente")))</f>
        <v/>
      </c>
      <c r="K281" s="18" t="str">
        <f aca="false">IF(A281="","",IF(AND(ISNA(MATCH(A281,Propostas!$A:$A,0)),ISNA(MATCH(A281,'Lula 2022 (2023-2026)'!$A:$A,0))),"ID inexistente",IF(OR(F281="",NOT(ISNUMBER(E281))),"Sem fonte ou data",IF(NOT(AND(LEFT(G281,8)="https://",OR(ISNUMBER(SEARCH(".gov.br",G281)),ISNUMBER(SEARCH(".leg.br",G281)),ISNUMBER(SEARCH(".jus.br",G281)),ISNUMBER(SEARCH(".mp.br",G281))))),"Sem link oficial",IF(OR(NOT(ISNUMBER(C281)),NOT(ISNUMBER(D281)),D281&lt;0,D281&gt;C281),"Valor inválido","Verificável")))))</f>
        <v/>
      </c>
    </row>
    <row r="282" customFormat="false" ht="15" hidden="false" customHeight="true" outlineLevel="0" collapsed="false">
      <c r="A282" s="15"/>
      <c r="B282" s="15"/>
      <c r="C282" s="16"/>
      <c r="D282" s="16"/>
      <c r="E282" s="17"/>
      <c r="F282" s="15"/>
      <c r="G282" s="15"/>
      <c r="H282" s="15"/>
      <c r="I282" s="15"/>
      <c r="J282" s="18" t="str">
        <f aca="false">IF(A282="","",IFERROR(INDEX(Propostas!$B:$B,MATCH(A282,Propostas!$A:$A,0)),IFERROR(INDEX('Lula 2022 (2023-2026)'!$D:$D,MATCH(A282,'Lula 2022 (2023-2026)'!$A:$A,0)),"ID inexistente")))</f>
        <v/>
      </c>
      <c r="K282" s="18" t="str">
        <f aca="false">IF(A282="","",IF(AND(ISNA(MATCH(A282,Propostas!$A:$A,0)),ISNA(MATCH(A282,'Lula 2022 (2023-2026)'!$A:$A,0))),"ID inexistente",IF(OR(F282="",NOT(ISNUMBER(E282))),"Sem fonte ou data",IF(NOT(AND(LEFT(G282,8)="https://",OR(ISNUMBER(SEARCH(".gov.br",G282)),ISNUMBER(SEARCH(".leg.br",G282)),ISNUMBER(SEARCH(".jus.br",G282)),ISNUMBER(SEARCH(".mp.br",G282))))),"Sem link oficial",IF(OR(NOT(ISNUMBER(C282)),NOT(ISNUMBER(D282)),D282&lt;0,D282&gt;C282),"Valor inválido","Verificável")))))</f>
        <v/>
      </c>
    </row>
    <row r="283" customFormat="false" ht="15" hidden="false" customHeight="true" outlineLevel="0" collapsed="false">
      <c r="A283" s="15"/>
      <c r="B283" s="15"/>
      <c r="C283" s="16"/>
      <c r="D283" s="16"/>
      <c r="E283" s="17"/>
      <c r="F283" s="15"/>
      <c r="G283" s="15"/>
      <c r="H283" s="15"/>
      <c r="I283" s="15"/>
      <c r="J283" s="18" t="str">
        <f aca="false">IF(A283="","",IFERROR(INDEX(Propostas!$B:$B,MATCH(A283,Propostas!$A:$A,0)),IFERROR(INDEX('Lula 2022 (2023-2026)'!$D:$D,MATCH(A283,'Lula 2022 (2023-2026)'!$A:$A,0)),"ID inexistente")))</f>
        <v/>
      </c>
      <c r="K283" s="18" t="str">
        <f aca="false">IF(A283="","",IF(AND(ISNA(MATCH(A283,Propostas!$A:$A,0)),ISNA(MATCH(A283,'Lula 2022 (2023-2026)'!$A:$A,0))),"ID inexistente",IF(OR(F283="",NOT(ISNUMBER(E283))),"Sem fonte ou data",IF(NOT(AND(LEFT(G283,8)="https://",OR(ISNUMBER(SEARCH(".gov.br",G283)),ISNUMBER(SEARCH(".leg.br",G283)),ISNUMBER(SEARCH(".jus.br",G283)),ISNUMBER(SEARCH(".mp.br",G283))))),"Sem link oficial",IF(OR(NOT(ISNUMBER(C283)),NOT(ISNUMBER(D283)),D283&lt;0,D283&gt;C283),"Valor inválido","Verificável")))))</f>
        <v/>
      </c>
    </row>
    <row r="284" customFormat="false" ht="15" hidden="false" customHeight="true" outlineLevel="0" collapsed="false">
      <c r="A284" s="15"/>
      <c r="B284" s="15"/>
      <c r="C284" s="16"/>
      <c r="D284" s="16"/>
      <c r="E284" s="17"/>
      <c r="F284" s="15"/>
      <c r="G284" s="15"/>
      <c r="H284" s="15"/>
      <c r="I284" s="15"/>
      <c r="J284" s="18" t="str">
        <f aca="false">IF(A284="","",IFERROR(INDEX(Propostas!$B:$B,MATCH(A284,Propostas!$A:$A,0)),IFERROR(INDEX('Lula 2022 (2023-2026)'!$D:$D,MATCH(A284,'Lula 2022 (2023-2026)'!$A:$A,0)),"ID inexistente")))</f>
        <v/>
      </c>
      <c r="K284" s="18" t="str">
        <f aca="false">IF(A284="","",IF(AND(ISNA(MATCH(A284,Propostas!$A:$A,0)),ISNA(MATCH(A284,'Lula 2022 (2023-2026)'!$A:$A,0))),"ID inexistente",IF(OR(F284="",NOT(ISNUMBER(E284))),"Sem fonte ou data",IF(NOT(AND(LEFT(G284,8)="https://",OR(ISNUMBER(SEARCH(".gov.br",G284)),ISNUMBER(SEARCH(".leg.br",G284)),ISNUMBER(SEARCH(".jus.br",G284)),ISNUMBER(SEARCH(".mp.br",G284))))),"Sem link oficial",IF(OR(NOT(ISNUMBER(C284)),NOT(ISNUMBER(D284)),D284&lt;0,D284&gt;C284),"Valor inválido","Verificável")))))</f>
        <v/>
      </c>
    </row>
    <row r="285" customFormat="false" ht="15" hidden="false" customHeight="true" outlineLevel="0" collapsed="false">
      <c r="A285" s="15"/>
      <c r="B285" s="15"/>
      <c r="C285" s="16"/>
      <c r="D285" s="16"/>
      <c r="E285" s="17"/>
      <c r="F285" s="15"/>
      <c r="G285" s="15"/>
      <c r="H285" s="15"/>
      <c r="I285" s="15"/>
      <c r="J285" s="18" t="str">
        <f aca="false">IF(A285="","",IFERROR(INDEX(Propostas!$B:$B,MATCH(A285,Propostas!$A:$A,0)),IFERROR(INDEX('Lula 2022 (2023-2026)'!$D:$D,MATCH(A285,'Lula 2022 (2023-2026)'!$A:$A,0)),"ID inexistente")))</f>
        <v/>
      </c>
      <c r="K285" s="18" t="str">
        <f aca="false">IF(A285="","",IF(AND(ISNA(MATCH(A285,Propostas!$A:$A,0)),ISNA(MATCH(A285,'Lula 2022 (2023-2026)'!$A:$A,0))),"ID inexistente",IF(OR(F285="",NOT(ISNUMBER(E285))),"Sem fonte ou data",IF(NOT(AND(LEFT(G285,8)="https://",OR(ISNUMBER(SEARCH(".gov.br",G285)),ISNUMBER(SEARCH(".leg.br",G285)),ISNUMBER(SEARCH(".jus.br",G285)),ISNUMBER(SEARCH(".mp.br",G285))))),"Sem link oficial",IF(OR(NOT(ISNUMBER(C285)),NOT(ISNUMBER(D285)),D285&lt;0,D285&gt;C285),"Valor inválido","Verificável")))))</f>
        <v/>
      </c>
    </row>
    <row r="286" customFormat="false" ht="15" hidden="false" customHeight="true" outlineLevel="0" collapsed="false">
      <c r="A286" s="15"/>
      <c r="B286" s="15"/>
      <c r="C286" s="16"/>
      <c r="D286" s="16"/>
      <c r="E286" s="17"/>
      <c r="F286" s="15"/>
      <c r="G286" s="15"/>
      <c r="H286" s="15"/>
      <c r="I286" s="15"/>
      <c r="J286" s="18" t="str">
        <f aca="false">IF(A286="","",IFERROR(INDEX(Propostas!$B:$B,MATCH(A286,Propostas!$A:$A,0)),IFERROR(INDEX('Lula 2022 (2023-2026)'!$D:$D,MATCH(A286,'Lula 2022 (2023-2026)'!$A:$A,0)),"ID inexistente")))</f>
        <v/>
      </c>
      <c r="K286" s="18" t="str">
        <f aca="false">IF(A286="","",IF(AND(ISNA(MATCH(A286,Propostas!$A:$A,0)),ISNA(MATCH(A286,'Lula 2022 (2023-2026)'!$A:$A,0))),"ID inexistente",IF(OR(F286="",NOT(ISNUMBER(E286))),"Sem fonte ou data",IF(NOT(AND(LEFT(G286,8)="https://",OR(ISNUMBER(SEARCH(".gov.br",G286)),ISNUMBER(SEARCH(".leg.br",G286)),ISNUMBER(SEARCH(".jus.br",G286)),ISNUMBER(SEARCH(".mp.br",G286))))),"Sem link oficial",IF(OR(NOT(ISNUMBER(C286)),NOT(ISNUMBER(D286)),D286&lt;0,D286&gt;C286),"Valor inválido","Verificável")))))</f>
        <v/>
      </c>
    </row>
    <row r="287" customFormat="false" ht="15" hidden="false" customHeight="true" outlineLevel="0" collapsed="false">
      <c r="A287" s="15"/>
      <c r="B287" s="15"/>
      <c r="C287" s="16"/>
      <c r="D287" s="16"/>
      <c r="E287" s="17"/>
      <c r="F287" s="15"/>
      <c r="G287" s="15"/>
      <c r="H287" s="15"/>
      <c r="I287" s="15"/>
      <c r="J287" s="18" t="str">
        <f aca="false">IF(A287="","",IFERROR(INDEX(Propostas!$B:$B,MATCH(A287,Propostas!$A:$A,0)),IFERROR(INDEX('Lula 2022 (2023-2026)'!$D:$D,MATCH(A287,'Lula 2022 (2023-2026)'!$A:$A,0)),"ID inexistente")))</f>
        <v/>
      </c>
      <c r="K287" s="18" t="str">
        <f aca="false">IF(A287="","",IF(AND(ISNA(MATCH(A287,Propostas!$A:$A,0)),ISNA(MATCH(A287,'Lula 2022 (2023-2026)'!$A:$A,0))),"ID inexistente",IF(OR(F287="",NOT(ISNUMBER(E287))),"Sem fonte ou data",IF(NOT(AND(LEFT(G287,8)="https://",OR(ISNUMBER(SEARCH(".gov.br",G287)),ISNUMBER(SEARCH(".leg.br",G287)),ISNUMBER(SEARCH(".jus.br",G287)),ISNUMBER(SEARCH(".mp.br",G287))))),"Sem link oficial",IF(OR(NOT(ISNUMBER(C287)),NOT(ISNUMBER(D287)),D287&lt;0,D287&gt;C287),"Valor inválido","Verificável")))))</f>
        <v/>
      </c>
    </row>
    <row r="288" customFormat="false" ht="15" hidden="false" customHeight="true" outlineLevel="0" collapsed="false">
      <c r="A288" s="15"/>
      <c r="B288" s="15"/>
      <c r="C288" s="16"/>
      <c r="D288" s="16"/>
      <c r="E288" s="17"/>
      <c r="F288" s="15"/>
      <c r="G288" s="15"/>
      <c r="H288" s="15"/>
      <c r="I288" s="15"/>
      <c r="J288" s="18" t="str">
        <f aca="false">IF(A288="","",IFERROR(INDEX(Propostas!$B:$B,MATCH(A288,Propostas!$A:$A,0)),IFERROR(INDEX('Lula 2022 (2023-2026)'!$D:$D,MATCH(A288,'Lula 2022 (2023-2026)'!$A:$A,0)),"ID inexistente")))</f>
        <v/>
      </c>
      <c r="K288" s="18" t="str">
        <f aca="false">IF(A288="","",IF(AND(ISNA(MATCH(A288,Propostas!$A:$A,0)),ISNA(MATCH(A288,'Lula 2022 (2023-2026)'!$A:$A,0))),"ID inexistente",IF(OR(F288="",NOT(ISNUMBER(E288))),"Sem fonte ou data",IF(NOT(AND(LEFT(G288,8)="https://",OR(ISNUMBER(SEARCH(".gov.br",G288)),ISNUMBER(SEARCH(".leg.br",G288)),ISNUMBER(SEARCH(".jus.br",G288)),ISNUMBER(SEARCH(".mp.br",G288))))),"Sem link oficial",IF(OR(NOT(ISNUMBER(C288)),NOT(ISNUMBER(D288)),D288&lt;0,D288&gt;C288),"Valor inválido","Verificável")))))</f>
        <v/>
      </c>
    </row>
    <row r="289" customFormat="false" ht="15" hidden="false" customHeight="true" outlineLevel="0" collapsed="false">
      <c r="A289" s="15"/>
      <c r="B289" s="15"/>
      <c r="C289" s="16"/>
      <c r="D289" s="16"/>
      <c r="E289" s="17"/>
      <c r="F289" s="15"/>
      <c r="G289" s="15"/>
      <c r="H289" s="15"/>
      <c r="I289" s="15"/>
      <c r="J289" s="18" t="str">
        <f aca="false">IF(A289="","",IFERROR(INDEX(Propostas!$B:$B,MATCH(A289,Propostas!$A:$A,0)),IFERROR(INDEX('Lula 2022 (2023-2026)'!$D:$D,MATCH(A289,'Lula 2022 (2023-2026)'!$A:$A,0)),"ID inexistente")))</f>
        <v/>
      </c>
      <c r="K289" s="18" t="str">
        <f aca="false">IF(A289="","",IF(AND(ISNA(MATCH(A289,Propostas!$A:$A,0)),ISNA(MATCH(A289,'Lula 2022 (2023-2026)'!$A:$A,0))),"ID inexistente",IF(OR(F289="",NOT(ISNUMBER(E289))),"Sem fonte ou data",IF(NOT(AND(LEFT(G289,8)="https://",OR(ISNUMBER(SEARCH(".gov.br",G289)),ISNUMBER(SEARCH(".leg.br",G289)),ISNUMBER(SEARCH(".jus.br",G289)),ISNUMBER(SEARCH(".mp.br",G289))))),"Sem link oficial",IF(OR(NOT(ISNUMBER(C289)),NOT(ISNUMBER(D289)),D289&lt;0,D289&gt;C289),"Valor inválido","Verificável")))))</f>
        <v/>
      </c>
    </row>
    <row r="290" customFormat="false" ht="15" hidden="false" customHeight="true" outlineLevel="0" collapsed="false">
      <c r="A290" s="15"/>
      <c r="B290" s="15"/>
      <c r="C290" s="16"/>
      <c r="D290" s="16"/>
      <c r="E290" s="17"/>
      <c r="F290" s="15"/>
      <c r="G290" s="15"/>
      <c r="H290" s="15"/>
      <c r="I290" s="15"/>
      <c r="J290" s="18" t="str">
        <f aca="false">IF(A290="","",IFERROR(INDEX(Propostas!$B:$B,MATCH(A290,Propostas!$A:$A,0)),IFERROR(INDEX('Lula 2022 (2023-2026)'!$D:$D,MATCH(A290,'Lula 2022 (2023-2026)'!$A:$A,0)),"ID inexistente")))</f>
        <v/>
      </c>
      <c r="K290" s="18" t="str">
        <f aca="false">IF(A290="","",IF(AND(ISNA(MATCH(A290,Propostas!$A:$A,0)),ISNA(MATCH(A290,'Lula 2022 (2023-2026)'!$A:$A,0))),"ID inexistente",IF(OR(F290="",NOT(ISNUMBER(E290))),"Sem fonte ou data",IF(NOT(AND(LEFT(G290,8)="https://",OR(ISNUMBER(SEARCH(".gov.br",G290)),ISNUMBER(SEARCH(".leg.br",G290)),ISNUMBER(SEARCH(".jus.br",G290)),ISNUMBER(SEARCH(".mp.br",G290))))),"Sem link oficial",IF(OR(NOT(ISNUMBER(C290)),NOT(ISNUMBER(D290)),D290&lt;0,D290&gt;C290),"Valor inválido","Verificável")))))</f>
        <v/>
      </c>
    </row>
    <row r="291" customFormat="false" ht="15" hidden="false" customHeight="true" outlineLevel="0" collapsed="false">
      <c r="A291" s="15"/>
      <c r="B291" s="15"/>
      <c r="C291" s="16"/>
      <c r="D291" s="16"/>
      <c r="E291" s="17"/>
      <c r="F291" s="15"/>
      <c r="G291" s="15"/>
      <c r="H291" s="15"/>
      <c r="I291" s="15"/>
      <c r="J291" s="18" t="str">
        <f aca="false">IF(A291="","",IFERROR(INDEX(Propostas!$B:$B,MATCH(A291,Propostas!$A:$A,0)),IFERROR(INDEX('Lula 2022 (2023-2026)'!$D:$D,MATCH(A291,'Lula 2022 (2023-2026)'!$A:$A,0)),"ID inexistente")))</f>
        <v/>
      </c>
      <c r="K291" s="18" t="str">
        <f aca="false">IF(A291="","",IF(AND(ISNA(MATCH(A291,Propostas!$A:$A,0)),ISNA(MATCH(A291,'Lula 2022 (2023-2026)'!$A:$A,0))),"ID inexistente",IF(OR(F291="",NOT(ISNUMBER(E291))),"Sem fonte ou data",IF(NOT(AND(LEFT(G291,8)="https://",OR(ISNUMBER(SEARCH(".gov.br",G291)),ISNUMBER(SEARCH(".leg.br",G291)),ISNUMBER(SEARCH(".jus.br",G291)),ISNUMBER(SEARCH(".mp.br",G291))))),"Sem link oficial",IF(OR(NOT(ISNUMBER(C291)),NOT(ISNUMBER(D291)),D291&lt;0,D291&gt;C291),"Valor inválido","Verificável")))))</f>
        <v/>
      </c>
    </row>
    <row r="292" customFormat="false" ht="15" hidden="false" customHeight="true" outlineLevel="0" collapsed="false">
      <c r="A292" s="15"/>
      <c r="B292" s="15"/>
      <c r="C292" s="16"/>
      <c r="D292" s="16"/>
      <c r="E292" s="17"/>
      <c r="F292" s="15"/>
      <c r="G292" s="15"/>
      <c r="H292" s="15"/>
      <c r="I292" s="15"/>
      <c r="J292" s="18" t="str">
        <f aca="false">IF(A292="","",IFERROR(INDEX(Propostas!$B:$B,MATCH(A292,Propostas!$A:$A,0)),IFERROR(INDEX('Lula 2022 (2023-2026)'!$D:$D,MATCH(A292,'Lula 2022 (2023-2026)'!$A:$A,0)),"ID inexistente")))</f>
        <v/>
      </c>
      <c r="K292" s="18" t="str">
        <f aca="false">IF(A292="","",IF(AND(ISNA(MATCH(A292,Propostas!$A:$A,0)),ISNA(MATCH(A292,'Lula 2022 (2023-2026)'!$A:$A,0))),"ID inexistente",IF(OR(F292="",NOT(ISNUMBER(E292))),"Sem fonte ou data",IF(NOT(AND(LEFT(G292,8)="https://",OR(ISNUMBER(SEARCH(".gov.br",G292)),ISNUMBER(SEARCH(".leg.br",G292)),ISNUMBER(SEARCH(".jus.br",G292)),ISNUMBER(SEARCH(".mp.br",G292))))),"Sem link oficial",IF(OR(NOT(ISNUMBER(C292)),NOT(ISNUMBER(D292)),D292&lt;0,D292&gt;C292),"Valor inválido","Verificável")))))</f>
        <v/>
      </c>
    </row>
    <row r="293" customFormat="false" ht="15" hidden="false" customHeight="true" outlineLevel="0" collapsed="false">
      <c r="A293" s="15"/>
      <c r="B293" s="15"/>
      <c r="C293" s="16"/>
      <c r="D293" s="16"/>
      <c r="E293" s="17"/>
      <c r="F293" s="15"/>
      <c r="G293" s="15"/>
      <c r="H293" s="15"/>
      <c r="I293" s="15"/>
      <c r="J293" s="18" t="str">
        <f aca="false">IF(A293="","",IFERROR(INDEX(Propostas!$B:$B,MATCH(A293,Propostas!$A:$A,0)),IFERROR(INDEX('Lula 2022 (2023-2026)'!$D:$D,MATCH(A293,'Lula 2022 (2023-2026)'!$A:$A,0)),"ID inexistente")))</f>
        <v/>
      </c>
      <c r="K293" s="18" t="str">
        <f aca="false">IF(A293="","",IF(AND(ISNA(MATCH(A293,Propostas!$A:$A,0)),ISNA(MATCH(A293,'Lula 2022 (2023-2026)'!$A:$A,0))),"ID inexistente",IF(OR(F293="",NOT(ISNUMBER(E293))),"Sem fonte ou data",IF(NOT(AND(LEFT(G293,8)="https://",OR(ISNUMBER(SEARCH(".gov.br",G293)),ISNUMBER(SEARCH(".leg.br",G293)),ISNUMBER(SEARCH(".jus.br",G293)),ISNUMBER(SEARCH(".mp.br",G293))))),"Sem link oficial",IF(OR(NOT(ISNUMBER(C293)),NOT(ISNUMBER(D293)),D293&lt;0,D293&gt;C293),"Valor inválido","Verificável")))))</f>
        <v/>
      </c>
    </row>
    <row r="294" customFormat="false" ht="15" hidden="false" customHeight="true" outlineLevel="0" collapsed="false">
      <c r="A294" s="15"/>
      <c r="B294" s="15"/>
      <c r="C294" s="16"/>
      <c r="D294" s="16"/>
      <c r="E294" s="17"/>
      <c r="F294" s="15"/>
      <c r="G294" s="15"/>
      <c r="H294" s="15"/>
      <c r="I294" s="15"/>
      <c r="J294" s="18" t="str">
        <f aca="false">IF(A294="","",IFERROR(INDEX(Propostas!$B:$B,MATCH(A294,Propostas!$A:$A,0)),IFERROR(INDEX('Lula 2022 (2023-2026)'!$D:$D,MATCH(A294,'Lula 2022 (2023-2026)'!$A:$A,0)),"ID inexistente")))</f>
        <v/>
      </c>
      <c r="K294" s="18" t="str">
        <f aca="false">IF(A294="","",IF(AND(ISNA(MATCH(A294,Propostas!$A:$A,0)),ISNA(MATCH(A294,'Lula 2022 (2023-2026)'!$A:$A,0))),"ID inexistente",IF(OR(F294="",NOT(ISNUMBER(E294))),"Sem fonte ou data",IF(NOT(AND(LEFT(G294,8)="https://",OR(ISNUMBER(SEARCH(".gov.br",G294)),ISNUMBER(SEARCH(".leg.br",G294)),ISNUMBER(SEARCH(".jus.br",G294)),ISNUMBER(SEARCH(".mp.br",G294))))),"Sem link oficial",IF(OR(NOT(ISNUMBER(C294)),NOT(ISNUMBER(D294)),D294&lt;0,D294&gt;C294),"Valor inválido","Verificável")))))</f>
        <v/>
      </c>
    </row>
    <row r="295" customFormat="false" ht="15" hidden="false" customHeight="true" outlineLevel="0" collapsed="false">
      <c r="A295" s="15"/>
      <c r="B295" s="15"/>
      <c r="C295" s="16"/>
      <c r="D295" s="16"/>
      <c r="E295" s="17"/>
      <c r="F295" s="15"/>
      <c r="G295" s="15"/>
      <c r="H295" s="15"/>
      <c r="I295" s="15"/>
      <c r="J295" s="18" t="str">
        <f aca="false">IF(A295="","",IFERROR(INDEX(Propostas!$B:$B,MATCH(A295,Propostas!$A:$A,0)),IFERROR(INDEX('Lula 2022 (2023-2026)'!$D:$D,MATCH(A295,'Lula 2022 (2023-2026)'!$A:$A,0)),"ID inexistente")))</f>
        <v/>
      </c>
      <c r="K295" s="18" t="str">
        <f aca="false">IF(A295="","",IF(AND(ISNA(MATCH(A295,Propostas!$A:$A,0)),ISNA(MATCH(A295,'Lula 2022 (2023-2026)'!$A:$A,0))),"ID inexistente",IF(OR(F295="",NOT(ISNUMBER(E295))),"Sem fonte ou data",IF(NOT(AND(LEFT(G295,8)="https://",OR(ISNUMBER(SEARCH(".gov.br",G295)),ISNUMBER(SEARCH(".leg.br",G295)),ISNUMBER(SEARCH(".jus.br",G295)),ISNUMBER(SEARCH(".mp.br",G295))))),"Sem link oficial",IF(OR(NOT(ISNUMBER(C295)),NOT(ISNUMBER(D295)),D295&lt;0,D295&gt;C295),"Valor inválido","Verificável")))))</f>
        <v/>
      </c>
    </row>
    <row r="296" customFormat="false" ht="15" hidden="false" customHeight="true" outlineLevel="0" collapsed="false">
      <c r="A296" s="15"/>
      <c r="B296" s="15"/>
      <c r="C296" s="16"/>
      <c r="D296" s="16"/>
      <c r="E296" s="17"/>
      <c r="F296" s="15"/>
      <c r="G296" s="15"/>
      <c r="H296" s="15"/>
      <c r="I296" s="15"/>
      <c r="J296" s="18" t="str">
        <f aca="false">IF(A296="","",IFERROR(INDEX(Propostas!$B:$B,MATCH(A296,Propostas!$A:$A,0)),IFERROR(INDEX('Lula 2022 (2023-2026)'!$D:$D,MATCH(A296,'Lula 2022 (2023-2026)'!$A:$A,0)),"ID inexistente")))</f>
        <v/>
      </c>
      <c r="K296" s="18" t="str">
        <f aca="false">IF(A296="","",IF(AND(ISNA(MATCH(A296,Propostas!$A:$A,0)),ISNA(MATCH(A296,'Lula 2022 (2023-2026)'!$A:$A,0))),"ID inexistente",IF(OR(F296="",NOT(ISNUMBER(E296))),"Sem fonte ou data",IF(NOT(AND(LEFT(G296,8)="https://",OR(ISNUMBER(SEARCH(".gov.br",G296)),ISNUMBER(SEARCH(".leg.br",G296)),ISNUMBER(SEARCH(".jus.br",G296)),ISNUMBER(SEARCH(".mp.br",G296))))),"Sem link oficial",IF(OR(NOT(ISNUMBER(C296)),NOT(ISNUMBER(D296)),D296&lt;0,D296&gt;C296),"Valor inválido","Verificável")))))</f>
        <v/>
      </c>
    </row>
    <row r="297" customFormat="false" ht="15" hidden="false" customHeight="true" outlineLevel="0" collapsed="false">
      <c r="A297" s="15"/>
      <c r="B297" s="15"/>
      <c r="C297" s="16"/>
      <c r="D297" s="16"/>
      <c r="E297" s="17"/>
      <c r="F297" s="15"/>
      <c r="G297" s="15"/>
      <c r="H297" s="15"/>
      <c r="I297" s="15"/>
      <c r="J297" s="18" t="str">
        <f aca="false">IF(A297="","",IFERROR(INDEX(Propostas!$B:$B,MATCH(A297,Propostas!$A:$A,0)),IFERROR(INDEX('Lula 2022 (2023-2026)'!$D:$D,MATCH(A297,'Lula 2022 (2023-2026)'!$A:$A,0)),"ID inexistente")))</f>
        <v/>
      </c>
      <c r="K297" s="18" t="str">
        <f aca="false">IF(A297="","",IF(AND(ISNA(MATCH(A297,Propostas!$A:$A,0)),ISNA(MATCH(A297,'Lula 2022 (2023-2026)'!$A:$A,0))),"ID inexistente",IF(OR(F297="",NOT(ISNUMBER(E297))),"Sem fonte ou data",IF(NOT(AND(LEFT(G297,8)="https://",OR(ISNUMBER(SEARCH(".gov.br",G297)),ISNUMBER(SEARCH(".leg.br",G297)),ISNUMBER(SEARCH(".jus.br",G297)),ISNUMBER(SEARCH(".mp.br",G297))))),"Sem link oficial",IF(OR(NOT(ISNUMBER(C297)),NOT(ISNUMBER(D297)),D297&lt;0,D297&gt;C297),"Valor inválido","Verificável")))))</f>
        <v/>
      </c>
    </row>
    <row r="298" customFormat="false" ht="15" hidden="false" customHeight="true" outlineLevel="0" collapsed="false">
      <c r="A298" s="15"/>
      <c r="B298" s="15"/>
      <c r="C298" s="16"/>
      <c r="D298" s="16"/>
      <c r="E298" s="17"/>
      <c r="F298" s="15"/>
      <c r="G298" s="15"/>
      <c r="H298" s="15"/>
      <c r="I298" s="15"/>
      <c r="J298" s="18" t="str">
        <f aca="false">IF(A298="","",IFERROR(INDEX(Propostas!$B:$B,MATCH(A298,Propostas!$A:$A,0)),IFERROR(INDEX('Lula 2022 (2023-2026)'!$D:$D,MATCH(A298,'Lula 2022 (2023-2026)'!$A:$A,0)),"ID inexistente")))</f>
        <v/>
      </c>
      <c r="K298" s="18" t="str">
        <f aca="false">IF(A298="","",IF(AND(ISNA(MATCH(A298,Propostas!$A:$A,0)),ISNA(MATCH(A298,'Lula 2022 (2023-2026)'!$A:$A,0))),"ID inexistente",IF(OR(F298="",NOT(ISNUMBER(E298))),"Sem fonte ou data",IF(NOT(AND(LEFT(G298,8)="https://",OR(ISNUMBER(SEARCH(".gov.br",G298)),ISNUMBER(SEARCH(".leg.br",G298)),ISNUMBER(SEARCH(".jus.br",G298)),ISNUMBER(SEARCH(".mp.br",G298))))),"Sem link oficial",IF(OR(NOT(ISNUMBER(C298)),NOT(ISNUMBER(D298)),D298&lt;0,D298&gt;C298),"Valor inválido","Verificável")))))</f>
        <v/>
      </c>
    </row>
    <row r="299" customFormat="false" ht="15" hidden="false" customHeight="true" outlineLevel="0" collapsed="false">
      <c r="A299" s="15"/>
      <c r="B299" s="15"/>
      <c r="C299" s="16"/>
      <c r="D299" s="16"/>
      <c r="E299" s="17"/>
      <c r="F299" s="15"/>
      <c r="G299" s="15"/>
      <c r="H299" s="15"/>
      <c r="I299" s="15"/>
      <c r="J299" s="18" t="str">
        <f aca="false">IF(A299="","",IFERROR(INDEX(Propostas!$B:$B,MATCH(A299,Propostas!$A:$A,0)),IFERROR(INDEX('Lula 2022 (2023-2026)'!$D:$D,MATCH(A299,'Lula 2022 (2023-2026)'!$A:$A,0)),"ID inexistente")))</f>
        <v/>
      </c>
      <c r="K299" s="18" t="str">
        <f aca="false">IF(A299="","",IF(AND(ISNA(MATCH(A299,Propostas!$A:$A,0)),ISNA(MATCH(A299,'Lula 2022 (2023-2026)'!$A:$A,0))),"ID inexistente",IF(OR(F299="",NOT(ISNUMBER(E299))),"Sem fonte ou data",IF(NOT(AND(LEFT(G299,8)="https://",OR(ISNUMBER(SEARCH(".gov.br",G299)),ISNUMBER(SEARCH(".leg.br",G299)),ISNUMBER(SEARCH(".jus.br",G299)),ISNUMBER(SEARCH(".mp.br",G299))))),"Sem link oficial",IF(OR(NOT(ISNUMBER(C299)),NOT(ISNUMBER(D299)),D299&lt;0,D299&gt;C299),"Valor inválido","Verificável")))))</f>
        <v/>
      </c>
    </row>
    <row r="300" customFormat="false" ht="15" hidden="false" customHeight="true" outlineLevel="0" collapsed="false">
      <c r="A300" s="15"/>
      <c r="B300" s="15"/>
      <c r="C300" s="16"/>
      <c r="D300" s="16"/>
      <c r="E300" s="17"/>
      <c r="F300" s="15"/>
      <c r="G300" s="15"/>
      <c r="H300" s="15"/>
      <c r="I300" s="15"/>
      <c r="J300" s="18" t="str">
        <f aca="false">IF(A300="","",IFERROR(INDEX(Propostas!$B:$B,MATCH(A300,Propostas!$A:$A,0)),IFERROR(INDEX('Lula 2022 (2023-2026)'!$D:$D,MATCH(A300,'Lula 2022 (2023-2026)'!$A:$A,0)),"ID inexistente")))</f>
        <v/>
      </c>
      <c r="K300" s="18" t="str">
        <f aca="false">IF(A300="","",IF(AND(ISNA(MATCH(A300,Propostas!$A:$A,0)),ISNA(MATCH(A300,'Lula 2022 (2023-2026)'!$A:$A,0))),"ID inexistente",IF(OR(F300="",NOT(ISNUMBER(E300))),"Sem fonte ou data",IF(NOT(AND(LEFT(G300,8)="https://",OR(ISNUMBER(SEARCH(".gov.br",G300)),ISNUMBER(SEARCH(".leg.br",G300)),ISNUMBER(SEARCH(".jus.br",G300)),ISNUMBER(SEARCH(".mp.br",G300))))),"Sem link oficial",IF(OR(NOT(ISNUMBER(C300)),NOT(ISNUMBER(D300)),D300&lt;0,D300&gt;C300),"Valor inválido","Verificável")))))</f>
        <v/>
      </c>
    </row>
    <row r="301" customFormat="false" ht="15" hidden="false" customHeight="true" outlineLevel="0" collapsed="false">
      <c r="A301" s="15"/>
      <c r="B301" s="15"/>
      <c r="C301" s="16"/>
      <c r="D301" s="16"/>
      <c r="E301" s="17"/>
      <c r="F301" s="15"/>
      <c r="G301" s="15"/>
      <c r="H301" s="15"/>
      <c r="I301" s="15"/>
      <c r="J301" s="18" t="str">
        <f aca="false">IF(A301="","",IFERROR(INDEX(Propostas!$B:$B,MATCH(A301,Propostas!$A:$A,0)),IFERROR(INDEX('Lula 2022 (2023-2026)'!$D:$D,MATCH(A301,'Lula 2022 (2023-2026)'!$A:$A,0)),"ID inexistente")))</f>
        <v/>
      </c>
      <c r="K301" s="18" t="str">
        <f aca="false">IF(A301="","",IF(AND(ISNA(MATCH(A301,Propostas!$A:$A,0)),ISNA(MATCH(A301,'Lula 2022 (2023-2026)'!$A:$A,0))),"ID inexistente",IF(OR(F301="",NOT(ISNUMBER(E301))),"Sem fonte ou data",IF(NOT(AND(LEFT(G301,8)="https://",OR(ISNUMBER(SEARCH(".gov.br",G301)),ISNUMBER(SEARCH(".leg.br",G301)),ISNUMBER(SEARCH(".jus.br",G301)),ISNUMBER(SEARCH(".mp.br",G301))))),"Sem link oficial",IF(OR(NOT(ISNUMBER(C301)),NOT(ISNUMBER(D301)),D301&lt;0,D301&gt;C301),"Valor inválido","Verificável")))))</f>
        <v/>
      </c>
    </row>
  </sheetData>
  <conditionalFormatting sqref="K2:K301">
    <cfRule type="expression" priority="2" aboveAverage="0" equalAverage="0" bottom="0" percent="0" rank="0" text="" dxfId="14">
      <formula>AND(K2&lt;&gt;"",K2&lt;&gt;"Verificável")</formula>
    </cfRule>
    <cfRule type="expression" priority="3" aboveAverage="0" equalAverage="0" bottom="0" percent="0" rank="0" text="" dxfId="4">
      <formula>K2="Verificável"</formula>
    </cfRule>
  </conditionalFormatting>
  <dataValidations count="2">
    <dataValidation allowBlank="false" error="Use um valor numérico maior ou igual a zero." errorStyle="stop" operator="greaterThanOrEqual" showDropDown="false" showErrorMessage="true" showInputMessage="false" sqref="C2:D301" type="decimal">
      <formula1>0</formula1>
      <formula2>0</formula2>
    </dataValidation>
    <dataValidation allowBlank="false" error="Use uma data válida (dd/mm/aaaa)." errorStyle="stop" operator="greaterThan" showDropDown="false" showErrorMessage="true" showInputMessage="false" sqref="E2:E301" type="date">
      <formula1>46000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8" min="2" style="1" width="14"/>
  </cols>
  <sheetData>
    <row r="1" customFormat="false" ht="17.25" hidden="false" customHeight="true" outlineLevel="0" collapsed="false">
      <c r="A1" s="2" t="s">
        <v>1465</v>
      </c>
    </row>
    <row r="2" customFormat="false" ht="15" hidden="false" customHeight="true" outlineLevel="0" collapsed="false">
      <c r="A2" s="19" t="s">
        <v>1466</v>
      </c>
    </row>
    <row r="4" customFormat="false" ht="15" hidden="false" customHeight="true" outlineLevel="0" collapsed="false">
      <c r="A4" s="20" t="s">
        <v>1467</v>
      </c>
      <c r="B4" s="21" t="n">
        <f aca="false">IFERROR(AVERAGE(Propostas!$K$2:$K$500),0)</f>
        <v>0</v>
      </c>
    </row>
    <row r="5" customFormat="false" ht="15" hidden="false" customHeight="true" outlineLevel="0" collapsed="false">
      <c r="A5" s="20" t="s">
        <v>1468</v>
      </c>
      <c r="B5" s="21" t="n">
        <f aca="false">IFERROR(COUNTIF(Propostas!$J$2:$J$500,"Concluída")/COUNTA(Propostas!$A$2:$A$500),0)</f>
        <v>0</v>
      </c>
    </row>
    <row r="7" customFormat="false" ht="15" hidden="false" customHeight="true" outlineLevel="0" collapsed="false">
      <c r="A7" s="22" t="s">
        <v>36</v>
      </c>
      <c r="B7" s="22" t="s">
        <v>1469</v>
      </c>
      <c r="C7" s="22" t="s">
        <v>55</v>
      </c>
      <c r="D7" s="22" t="s">
        <v>372</v>
      </c>
      <c r="E7" s="22" t="s">
        <v>1090</v>
      </c>
      <c r="F7" s="22" t="s">
        <v>1077</v>
      </c>
      <c r="G7" s="22" t="s">
        <v>1470</v>
      </c>
      <c r="H7" s="22" t="s">
        <v>1471</v>
      </c>
    </row>
    <row r="8" customFormat="false" ht="15" hidden="false" customHeight="true" outlineLevel="0" collapsed="false">
      <c r="A8" s="23" t="s">
        <v>49</v>
      </c>
      <c r="B8" s="23" t="n">
        <f aca="false">COUNTIF(Propostas!$B$2:$B$500,$A8)</f>
        <v>18</v>
      </c>
      <c r="C8" s="23" t="n">
        <f aca="false">COUNTIFS(Propostas!$B$2:$B$500,$A8,Propostas!$J$2:$J$500,"Não iniciada")</f>
        <v>18</v>
      </c>
      <c r="D8" s="23" t="n">
        <f aca="false">COUNTIFS(Propostas!$B$2:$B$500,$A8,Propostas!$J$2:$J$500,"Em andamento")</f>
        <v>0</v>
      </c>
      <c r="E8" s="23" t="n">
        <f aca="false">COUNTIFS(Propostas!$B$2:$B$500,$A8,Propostas!$J$2:$J$500,"Concluída")</f>
        <v>0</v>
      </c>
      <c r="F8" s="23" t="n">
        <f aca="false">COUNTIFS(Propostas!$B$2:$B$500,$A8,Propostas!$J$2:$J$500,"Sem dados")</f>
        <v>0</v>
      </c>
      <c r="G8" s="24" t="n">
        <f aca="false">IFERROR(E8/B8,0)</f>
        <v>0</v>
      </c>
      <c r="H8" s="24" t="n">
        <f aca="false">IFERROR(AVERAGEIFS(Propostas!$K$2:$K$500,Propostas!$B$2:$B$500,$A8),0)</f>
        <v>0</v>
      </c>
    </row>
    <row r="9" customFormat="false" ht="15" hidden="false" customHeight="true" outlineLevel="0" collapsed="false">
      <c r="A9" s="23" t="s">
        <v>128</v>
      </c>
      <c r="B9" s="23" t="n">
        <f aca="false">COUNTIF(Propostas!$B$2:$B$500,$A9)</f>
        <v>39</v>
      </c>
      <c r="C9" s="23" t="n">
        <f aca="false">COUNTIFS(Propostas!$B$2:$B$500,$A9,Propostas!$J$2:$J$500,"Não iniciada")</f>
        <v>39</v>
      </c>
      <c r="D9" s="23" t="n">
        <f aca="false">COUNTIFS(Propostas!$B$2:$B$500,$A9,Propostas!$J$2:$J$500,"Em andamento")</f>
        <v>0</v>
      </c>
      <c r="E9" s="23" t="n">
        <f aca="false">COUNTIFS(Propostas!$B$2:$B$500,$A9,Propostas!$J$2:$J$500,"Concluída")</f>
        <v>0</v>
      </c>
      <c r="F9" s="23" t="n">
        <f aca="false">COUNTIFS(Propostas!$B$2:$B$500,$A9,Propostas!$J$2:$J$500,"Sem dados")</f>
        <v>0</v>
      </c>
      <c r="G9" s="24" t="n">
        <f aca="false">IFERROR(E9/B9,0)</f>
        <v>0</v>
      </c>
      <c r="H9" s="24" t="n">
        <f aca="false">IFERROR(AVERAGEIFS(Propostas!$K$2:$K$500,Propostas!$B$2:$B$500,$A9),0)</f>
        <v>0</v>
      </c>
    </row>
    <row r="10" customFormat="false" ht="15" hidden="false" customHeight="true" outlineLevel="0" collapsed="false">
      <c r="A10" s="23" t="s">
        <v>251</v>
      </c>
      <c r="B10" s="23" t="n">
        <f aca="false">COUNTIF(Propostas!$B$2:$B$500,$A10)</f>
        <v>17</v>
      </c>
      <c r="C10" s="23" t="n">
        <f aca="false">COUNTIFS(Propostas!$B$2:$B$500,$A10,Propostas!$J$2:$J$500,"Não iniciada")</f>
        <v>17</v>
      </c>
      <c r="D10" s="23" t="n">
        <f aca="false">COUNTIFS(Propostas!$B$2:$B$500,$A10,Propostas!$J$2:$J$500,"Em andamento")</f>
        <v>0</v>
      </c>
      <c r="E10" s="23" t="n">
        <f aca="false">COUNTIFS(Propostas!$B$2:$B$500,$A10,Propostas!$J$2:$J$500,"Concluída")</f>
        <v>0</v>
      </c>
      <c r="F10" s="23" t="n">
        <f aca="false">COUNTIFS(Propostas!$B$2:$B$500,$A10,Propostas!$J$2:$J$500,"Sem dados")</f>
        <v>0</v>
      </c>
      <c r="G10" s="24" t="n">
        <f aca="false">IFERROR(E10/B10,0)</f>
        <v>0</v>
      </c>
      <c r="H10" s="24" t="n">
        <f aca="false">IFERROR(AVERAGEIFS(Propostas!$K$2:$K$500,Propostas!$B$2:$B$500,$A10),0)</f>
        <v>0</v>
      </c>
    </row>
    <row r="11" customFormat="false" ht="15" hidden="false" customHeight="true" outlineLevel="0" collapsed="false">
      <c r="A11" s="23" t="s">
        <v>313</v>
      </c>
      <c r="B11" s="23" t="n">
        <f aca="false">COUNTIF(Propostas!$B$2:$B$500,$A11)</f>
        <v>21</v>
      </c>
      <c r="C11" s="23" t="n">
        <f aca="false">COUNTIFS(Propostas!$B$2:$B$500,$A11,Propostas!$J$2:$J$500,"Não iniciada")</f>
        <v>21</v>
      </c>
      <c r="D11" s="23" t="n">
        <f aca="false">COUNTIFS(Propostas!$B$2:$B$500,$A11,Propostas!$J$2:$J$500,"Em andamento")</f>
        <v>0</v>
      </c>
      <c r="E11" s="23" t="n">
        <f aca="false">COUNTIFS(Propostas!$B$2:$B$500,$A11,Propostas!$J$2:$J$500,"Concluída")</f>
        <v>0</v>
      </c>
      <c r="F11" s="23" t="n">
        <f aca="false">COUNTIFS(Propostas!$B$2:$B$500,$A11,Propostas!$J$2:$J$500,"Sem dados")</f>
        <v>0</v>
      </c>
      <c r="G11" s="24" t="n">
        <f aca="false">IFERROR(E11/B11,0)</f>
        <v>0</v>
      </c>
      <c r="H11" s="24" t="n">
        <f aca="false">IFERROR(AVERAGEIFS(Propostas!$K$2:$K$500,Propostas!$B$2:$B$500,$A11),0)</f>
        <v>0</v>
      </c>
    </row>
    <row r="12" customFormat="false" ht="15" hidden="false" customHeight="true" outlineLevel="0" collapsed="false">
      <c r="A12" s="23" t="s">
        <v>396</v>
      </c>
      <c r="B12" s="23" t="n">
        <f aca="false">COUNTIF(Propostas!$B$2:$B$500,$A12)</f>
        <v>27</v>
      </c>
      <c r="C12" s="23" t="n">
        <f aca="false">COUNTIFS(Propostas!$B$2:$B$500,$A12,Propostas!$J$2:$J$500,"Não iniciada")</f>
        <v>27</v>
      </c>
      <c r="D12" s="23" t="n">
        <f aca="false">COUNTIFS(Propostas!$B$2:$B$500,$A12,Propostas!$J$2:$J$500,"Em andamento")</f>
        <v>0</v>
      </c>
      <c r="E12" s="23" t="n">
        <f aca="false">COUNTIFS(Propostas!$B$2:$B$500,$A12,Propostas!$J$2:$J$500,"Concluída")</f>
        <v>0</v>
      </c>
      <c r="F12" s="23" t="n">
        <f aca="false">COUNTIFS(Propostas!$B$2:$B$500,$A12,Propostas!$J$2:$J$500,"Sem dados")</f>
        <v>0</v>
      </c>
      <c r="G12" s="24" t="n">
        <f aca="false">IFERROR(E12/B12,0)</f>
        <v>0</v>
      </c>
      <c r="H12" s="24" t="n">
        <f aca="false">IFERROR(AVERAGEIFS(Propostas!$K$2:$K$500,Propostas!$B$2:$B$500,$A12),0)</f>
        <v>0</v>
      </c>
    </row>
    <row r="13" customFormat="false" ht="15" hidden="false" customHeight="true" outlineLevel="0" collapsed="false">
      <c r="A13" s="23" t="s">
        <v>492</v>
      </c>
      <c r="B13" s="23" t="n">
        <f aca="false">COUNTIF(Propostas!$B$2:$B$500,$A13)</f>
        <v>19</v>
      </c>
      <c r="C13" s="23" t="n">
        <f aca="false">COUNTIFS(Propostas!$B$2:$B$500,$A13,Propostas!$J$2:$J$500,"Não iniciada")</f>
        <v>19</v>
      </c>
      <c r="D13" s="23" t="n">
        <f aca="false">COUNTIFS(Propostas!$B$2:$B$500,$A13,Propostas!$J$2:$J$500,"Em andamento")</f>
        <v>0</v>
      </c>
      <c r="E13" s="23" t="n">
        <f aca="false">COUNTIFS(Propostas!$B$2:$B$500,$A13,Propostas!$J$2:$J$500,"Concluída")</f>
        <v>0</v>
      </c>
      <c r="F13" s="23" t="n">
        <f aca="false">COUNTIFS(Propostas!$B$2:$B$500,$A13,Propostas!$J$2:$J$500,"Sem dados")</f>
        <v>0</v>
      </c>
      <c r="G13" s="24" t="n">
        <f aca="false">IFERROR(E13/B13,0)</f>
        <v>0</v>
      </c>
      <c r="H13" s="24" t="n">
        <f aca="false">IFERROR(AVERAGEIFS(Propostas!$K$2:$K$500,Propostas!$B$2:$B$500,$A13),0)</f>
        <v>0</v>
      </c>
    </row>
    <row r="14" customFormat="false" ht="15" hidden="false" customHeight="true" outlineLevel="0" collapsed="false">
      <c r="A14" s="23" t="s">
        <v>555</v>
      </c>
      <c r="B14" s="23" t="n">
        <f aca="false">COUNTIF(Propostas!$B$2:$B$500,$A14)</f>
        <v>14</v>
      </c>
      <c r="C14" s="23" t="n">
        <f aca="false">COUNTIFS(Propostas!$B$2:$B$500,$A14,Propostas!$J$2:$J$500,"Não iniciada")</f>
        <v>14</v>
      </c>
      <c r="D14" s="23" t="n">
        <f aca="false">COUNTIFS(Propostas!$B$2:$B$500,$A14,Propostas!$J$2:$J$500,"Em andamento")</f>
        <v>0</v>
      </c>
      <c r="E14" s="23" t="n">
        <f aca="false">COUNTIFS(Propostas!$B$2:$B$500,$A14,Propostas!$J$2:$J$500,"Concluída")</f>
        <v>0</v>
      </c>
      <c r="F14" s="23" t="n">
        <f aca="false">COUNTIFS(Propostas!$B$2:$B$500,$A14,Propostas!$J$2:$J$500,"Sem dados")</f>
        <v>0</v>
      </c>
      <c r="G14" s="24" t="n">
        <f aca="false">IFERROR(E14/B14,0)</f>
        <v>0</v>
      </c>
      <c r="H14" s="24" t="n">
        <f aca="false">IFERROR(AVERAGEIFS(Propostas!$K$2:$K$500,Propostas!$B$2:$B$500,$A14),0)</f>
        <v>0</v>
      </c>
    </row>
    <row r="15" customFormat="false" ht="15" hidden="false" customHeight="true" outlineLevel="0" collapsed="false">
      <c r="A15" s="23" t="s">
        <v>606</v>
      </c>
      <c r="B15" s="23" t="n">
        <f aca="false">COUNTIF(Propostas!$B$2:$B$500,$A15)</f>
        <v>36</v>
      </c>
      <c r="C15" s="23" t="n">
        <f aca="false">COUNTIFS(Propostas!$B$2:$B$500,$A15,Propostas!$J$2:$J$500,"Não iniciada")</f>
        <v>36</v>
      </c>
      <c r="D15" s="23" t="n">
        <f aca="false">COUNTIFS(Propostas!$B$2:$B$500,$A15,Propostas!$J$2:$J$500,"Em andamento")</f>
        <v>0</v>
      </c>
      <c r="E15" s="23" t="n">
        <f aca="false">COUNTIFS(Propostas!$B$2:$B$500,$A15,Propostas!$J$2:$J$500,"Concluída")</f>
        <v>0</v>
      </c>
      <c r="F15" s="23" t="n">
        <f aca="false">COUNTIFS(Propostas!$B$2:$B$500,$A15,Propostas!$J$2:$J$500,"Sem dados")</f>
        <v>0</v>
      </c>
      <c r="G15" s="24" t="n">
        <f aca="false">IFERROR(E15/B15,0)</f>
        <v>0</v>
      </c>
      <c r="H15" s="24" t="n">
        <f aca="false">IFERROR(AVERAGEIFS(Propostas!$K$2:$K$500,Propostas!$B$2:$B$500,$A15),0)</f>
        <v>0</v>
      </c>
    </row>
    <row r="16" customFormat="false" ht="15" hidden="false" customHeight="true" outlineLevel="0" collapsed="false">
      <c r="A16" s="23" t="s">
        <v>726</v>
      </c>
      <c r="B16" s="23" t="n">
        <f aca="false">COUNTIF(Propostas!$B$2:$B$500,$A16)</f>
        <v>27</v>
      </c>
      <c r="C16" s="23" t="n">
        <f aca="false">COUNTIFS(Propostas!$B$2:$B$500,$A16,Propostas!$J$2:$J$500,"Não iniciada")</f>
        <v>27</v>
      </c>
      <c r="D16" s="23" t="n">
        <f aca="false">COUNTIFS(Propostas!$B$2:$B$500,$A16,Propostas!$J$2:$J$500,"Em andamento")</f>
        <v>0</v>
      </c>
      <c r="E16" s="23" t="n">
        <f aca="false">COUNTIFS(Propostas!$B$2:$B$500,$A16,Propostas!$J$2:$J$500,"Concluída")</f>
        <v>0</v>
      </c>
      <c r="F16" s="23" t="n">
        <f aca="false">COUNTIFS(Propostas!$B$2:$B$500,$A16,Propostas!$J$2:$J$500,"Sem dados")</f>
        <v>0</v>
      </c>
      <c r="G16" s="24" t="n">
        <f aca="false">IFERROR(E16/B16,0)</f>
        <v>0</v>
      </c>
      <c r="H16" s="24" t="n">
        <f aca="false">IFERROR(AVERAGEIFS(Propostas!$K$2:$K$500,Propostas!$B$2:$B$500,$A16),0)</f>
        <v>0</v>
      </c>
    </row>
    <row r="17" customFormat="false" ht="15" hidden="false" customHeight="true" outlineLevel="0" collapsed="false">
      <c r="A17" s="23" t="s">
        <v>814</v>
      </c>
      <c r="B17" s="23" t="n">
        <f aca="false">COUNTIF(Propostas!$B$2:$B$500,$A17)</f>
        <v>16</v>
      </c>
      <c r="C17" s="23" t="n">
        <f aca="false">COUNTIFS(Propostas!$B$2:$B$500,$A17,Propostas!$J$2:$J$500,"Não iniciada")</f>
        <v>16</v>
      </c>
      <c r="D17" s="23" t="n">
        <f aca="false">COUNTIFS(Propostas!$B$2:$B$500,$A17,Propostas!$J$2:$J$500,"Em andamento")</f>
        <v>0</v>
      </c>
      <c r="E17" s="23" t="n">
        <f aca="false">COUNTIFS(Propostas!$B$2:$B$500,$A17,Propostas!$J$2:$J$500,"Concluída")</f>
        <v>0</v>
      </c>
      <c r="F17" s="23" t="n">
        <f aca="false">COUNTIFS(Propostas!$B$2:$B$500,$A17,Propostas!$J$2:$J$500,"Sem dados")</f>
        <v>0</v>
      </c>
      <c r="G17" s="24" t="n">
        <f aca="false">IFERROR(E17/B17,0)</f>
        <v>0</v>
      </c>
      <c r="H17" s="24" t="n">
        <f aca="false">IFERROR(AVERAGEIFS(Propostas!$K$2:$K$500,Propostas!$B$2:$B$500,$A17),0)</f>
        <v>0</v>
      </c>
    </row>
    <row r="18" customFormat="false" ht="15" hidden="false" customHeight="true" outlineLevel="0" collapsed="false">
      <c r="A18" s="23" t="s">
        <v>878</v>
      </c>
      <c r="B18" s="23" t="n">
        <f aca="false">COUNTIF(Propostas!$B$2:$B$500,$A18)</f>
        <v>18</v>
      </c>
      <c r="C18" s="23" t="n">
        <f aca="false">COUNTIFS(Propostas!$B$2:$B$500,$A18,Propostas!$J$2:$J$500,"Não iniciada")</f>
        <v>18</v>
      </c>
      <c r="D18" s="23" t="n">
        <f aca="false">COUNTIFS(Propostas!$B$2:$B$500,$A18,Propostas!$J$2:$J$500,"Em andamento")</f>
        <v>0</v>
      </c>
      <c r="E18" s="23" t="n">
        <f aca="false">COUNTIFS(Propostas!$B$2:$B$500,$A18,Propostas!$J$2:$J$500,"Concluída")</f>
        <v>0</v>
      </c>
      <c r="F18" s="23" t="n">
        <f aca="false">COUNTIFS(Propostas!$B$2:$B$500,$A18,Propostas!$J$2:$J$500,"Sem dados")</f>
        <v>0</v>
      </c>
      <c r="G18" s="24" t="n">
        <f aca="false">IFERROR(E18/B18,0)</f>
        <v>0</v>
      </c>
      <c r="H18" s="24" t="n">
        <f aca="false">IFERROR(AVERAGEIFS(Propostas!$K$2:$K$500,Propostas!$B$2:$B$500,$A18),0)</f>
        <v>0</v>
      </c>
    </row>
    <row r="19" customFormat="false" ht="15" hidden="false" customHeight="true" outlineLevel="0" collapsed="false">
      <c r="A19" s="23" t="s">
        <v>944</v>
      </c>
      <c r="B19" s="23" t="n">
        <f aca="false">COUNTIF(Propostas!$B$2:$B$500,$A19)</f>
        <v>20</v>
      </c>
      <c r="C19" s="23" t="n">
        <f aca="false">COUNTIFS(Propostas!$B$2:$B$500,$A19,Propostas!$J$2:$J$500,"Não iniciada")</f>
        <v>20</v>
      </c>
      <c r="D19" s="23" t="n">
        <f aca="false">COUNTIFS(Propostas!$B$2:$B$500,$A19,Propostas!$J$2:$J$500,"Em andamento")</f>
        <v>0</v>
      </c>
      <c r="E19" s="23" t="n">
        <f aca="false">COUNTIFS(Propostas!$B$2:$B$500,$A19,Propostas!$J$2:$J$500,"Concluída")</f>
        <v>0</v>
      </c>
      <c r="F19" s="23" t="n">
        <f aca="false">COUNTIFS(Propostas!$B$2:$B$500,$A19,Propostas!$J$2:$J$500,"Sem dados")</f>
        <v>0</v>
      </c>
      <c r="G19" s="24" t="n">
        <f aca="false">IFERROR(E19/B19,0)</f>
        <v>0</v>
      </c>
      <c r="H19" s="24" t="n">
        <f aca="false">IFERROR(AVERAGEIFS(Propostas!$K$2:$K$500,Propostas!$B$2:$B$500,$A19),0)</f>
        <v>0</v>
      </c>
    </row>
    <row r="20" customFormat="false" ht="15" hidden="false" customHeight="true" outlineLevel="0" collapsed="false">
      <c r="A20" s="23" t="s">
        <v>1010</v>
      </c>
      <c r="B20" s="23" t="n">
        <f aca="false">COUNTIF(Propostas!$B$2:$B$500,$A20)</f>
        <v>17</v>
      </c>
      <c r="C20" s="23" t="n">
        <f aca="false">COUNTIFS(Propostas!$B$2:$B$500,$A20,Propostas!$J$2:$J$500,"Não iniciada")</f>
        <v>17</v>
      </c>
      <c r="D20" s="23" t="n">
        <f aca="false">COUNTIFS(Propostas!$B$2:$B$500,$A20,Propostas!$J$2:$J$500,"Em andamento")</f>
        <v>0</v>
      </c>
      <c r="E20" s="23" t="n">
        <f aca="false">COUNTIFS(Propostas!$B$2:$B$500,$A20,Propostas!$J$2:$J$500,"Concluída")</f>
        <v>0</v>
      </c>
      <c r="F20" s="23" t="n">
        <f aca="false">COUNTIFS(Propostas!$B$2:$B$500,$A20,Propostas!$J$2:$J$500,"Sem dados")</f>
        <v>0</v>
      </c>
      <c r="G20" s="24" t="n">
        <f aca="false">IFERROR(E20/B20,0)</f>
        <v>0</v>
      </c>
      <c r="H20" s="24" t="n">
        <f aca="false">IFERROR(AVERAGEIFS(Propostas!$K$2:$K$500,Propostas!$B$2:$B$500,$A20),0)</f>
        <v>0</v>
      </c>
    </row>
    <row r="21" customFormat="false" ht="15" hidden="false" customHeight="true" outlineLevel="0" collapsed="false">
      <c r="A21" s="25" t="s">
        <v>1469</v>
      </c>
      <c r="B21" s="25" t="n">
        <f aca="false">SUM(B8:B20)</f>
        <v>289</v>
      </c>
      <c r="C21" s="25" t="n">
        <f aca="false">SUM(C8:C20)</f>
        <v>289</v>
      </c>
      <c r="D21" s="25" t="n">
        <f aca="false">SUM(D8:D20)</f>
        <v>0</v>
      </c>
      <c r="E21" s="25" t="n">
        <f aca="false">SUM(E8:E20)</f>
        <v>0</v>
      </c>
      <c r="F21" s="25" t="n">
        <f aca="false">SUM(F8:F20)</f>
        <v>0</v>
      </c>
      <c r="G21" s="26" t="n">
        <f aca="false">IFERROR(E21/B21,0)</f>
        <v>0</v>
      </c>
      <c r="H21" s="26" t="n">
        <f aca="false">IFERROR(AVERAGE(Propostas!$K$2:$K$500),0)</f>
        <v>0</v>
      </c>
    </row>
    <row r="24" customFormat="false" ht="15" hidden="false" customHeight="true" outlineLevel="0" collapsed="false">
      <c r="A24" s="22" t="s">
        <v>1472</v>
      </c>
      <c r="B24" s="22" t="s">
        <v>1469</v>
      </c>
      <c r="C24" s="22" t="s">
        <v>55</v>
      </c>
      <c r="D24" s="22" t="s">
        <v>372</v>
      </c>
      <c r="E24" s="22" t="s">
        <v>1090</v>
      </c>
      <c r="F24" s="22" t="s">
        <v>1077</v>
      </c>
      <c r="G24" s="22" t="s">
        <v>1470</v>
      </c>
      <c r="H24" s="22" t="s">
        <v>1471</v>
      </c>
    </row>
    <row r="25" customFormat="false" ht="15" hidden="false" customHeight="true" outlineLevel="0" collapsed="false">
      <c r="A25" s="23" t="s">
        <v>174</v>
      </c>
      <c r="B25" s="23" t="n">
        <f aca="false">COUNTIF(Propostas!$F$2:$F$500,$A25)</f>
        <v>18</v>
      </c>
      <c r="C25" s="23" t="n">
        <f aca="false">COUNTIFS(Propostas!$F$2:$F$500,$A25,Propostas!$J$2:$J$500,"Não iniciada")</f>
        <v>18</v>
      </c>
      <c r="D25" s="23" t="n">
        <f aca="false">COUNTIFS(Propostas!$F$2:$F$500,$A25,Propostas!$J$2:$J$500,"Em andamento")</f>
        <v>0</v>
      </c>
      <c r="E25" s="23" t="n">
        <f aca="false">COUNTIFS(Propostas!$F$2:$F$500,$A25,Propostas!$J$2:$J$500,"Concluída")</f>
        <v>0</v>
      </c>
      <c r="F25" s="23" t="n">
        <f aca="false">COUNTIFS(Propostas!$F$2:$F$500,$A25,Propostas!$J$2:$J$500,"Sem dados")</f>
        <v>0</v>
      </c>
      <c r="G25" s="24" t="n">
        <f aca="false">IFERROR(E25/B25,0)</f>
        <v>0</v>
      </c>
      <c r="H25" s="24" t="n">
        <f aca="false">IFERROR(AVERAGEIFS(Propostas!$K$2:$K$500,Propostas!$F$2:$F$500,$A25),0)</f>
        <v>0</v>
      </c>
    </row>
    <row r="26" customFormat="false" ht="15" hidden="false" customHeight="true" outlineLevel="0" collapsed="false">
      <c r="A26" s="23" t="s">
        <v>53</v>
      </c>
      <c r="B26" s="23" t="n">
        <f aca="false">COUNTIF(Propostas!$F$2:$F$500,$A26)</f>
        <v>57</v>
      </c>
      <c r="C26" s="23" t="n">
        <f aca="false">COUNTIFS(Propostas!$F$2:$F$500,$A26,Propostas!$J$2:$J$500,"Não iniciada")</f>
        <v>57</v>
      </c>
      <c r="D26" s="23" t="n">
        <f aca="false">COUNTIFS(Propostas!$F$2:$F$500,$A26,Propostas!$J$2:$J$500,"Em andamento")</f>
        <v>0</v>
      </c>
      <c r="E26" s="23" t="n">
        <f aca="false">COUNTIFS(Propostas!$F$2:$F$500,$A26,Propostas!$J$2:$J$500,"Concluída")</f>
        <v>0</v>
      </c>
      <c r="F26" s="23" t="n">
        <f aca="false">COUNTIFS(Propostas!$F$2:$F$500,$A26,Propostas!$J$2:$J$500,"Sem dados")</f>
        <v>0</v>
      </c>
      <c r="G26" s="24" t="n">
        <f aca="false">IFERROR(E26/B26,0)</f>
        <v>0</v>
      </c>
      <c r="H26" s="24" t="n">
        <f aca="false">IFERROR(AVERAGEIFS(Propostas!$K$2:$K$500,Propostas!$F$2:$F$500,$A26),0)</f>
        <v>0</v>
      </c>
    </row>
    <row r="27" customFormat="false" ht="15" hidden="false" customHeight="true" outlineLevel="0" collapsed="false">
      <c r="A27" s="23" t="s">
        <v>59</v>
      </c>
      <c r="B27" s="23" t="n">
        <f aca="false">COUNTIF(Propostas!$F$2:$F$500,$A27)</f>
        <v>214</v>
      </c>
      <c r="C27" s="23" t="n">
        <f aca="false">COUNTIFS(Propostas!$F$2:$F$500,$A27,Propostas!$J$2:$J$500,"Não iniciada")</f>
        <v>214</v>
      </c>
      <c r="D27" s="23" t="n">
        <f aca="false">COUNTIFS(Propostas!$F$2:$F$500,$A27,Propostas!$J$2:$J$500,"Em andamento")</f>
        <v>0</v>
      </c>
      <c r="E27" s="23" t="n">
        <f aca="false">COUNTIFS(Propostas!$F$2:$F$500,$A27,Propostas!$J$2:$J$500,"Concluída")</f>
        <v>0</v>
      </c>
      <c r="F27" s="23" t="n">
        <f aca="false">COUNTIFS(Propostas!$F$2:$F$500,$A27,Propostas!$J$2:$J$500,"Sem dados")</f>
        <v>0</v>
      </c>
      <c r="G27" s="24" t="n">
        <f aca="false">IFERROR(E27/B27,0)</f>
        <v>0</v>
      </c>
      <c r="H27" s="24" t="n">
        <f aca="false">IFERROR(AVERAGEIFS(Propostas!$K$2:$K$500,Propostas!$F$2:$F$500,$A27),0)</f>
        <v>0</v>
      </c>
    </row>
    <row r="28" customFormat="false" ht="15" hidden="false" customHeight="true" outlineLevel="0" collapsed="false">
      <c r="A28" s="25" t="s">
        <v>1469</v>
      </c>
      <c r="B28" s="25" t="n">
        <f aca="false">SUM(B25:B27)</f>
        <v>289</v>
      </c>
      <c r="C28" s="25" t="n">
        <f aca="false">SUM(C25:C27)</f>
        <v>289</v>
      </c>
      <c r="D28" s="25" t="n">
        <f aca="false">SUM(D25:D27)</f>
        <v>0</v>
      </c>
      <c r="E28" s="25" t="n">
        <f aca="false">SUM(E25:E27)</f>
        <v>0</v>
      </c>
      <c r="F28" s="25" t="n">
        <f aca="false">SUM(F25:F27)</f>
        <v>0</v>
      </c>
      <c r="G28" s="26" t="n">
        <f aca="false">IFERROR(E28/B28,0)</f>
        <v>0</v>
      </c>
      <c r="H28" s="26" t="n">
        <f aca="false">IFERROR(AVERAGE(Propostas!$K$2:$K$500),0)</f>
        <v>0</v>
      </c>
    </row>
    <row r="30" customFormat="false" ht="15" hidden="false" customHeight="true" outlineLevel="0" collapsed="false">
      <c r="A30" s="19" t="s">
        <v>1473</v>
      </c>
    </row>
    <row r="31" customFormat="false" ht="15" hidden="false" customHeight="true" outlineLevel="0" collapsed="false">
      <c r="A31" s="5" t="s">
        <v>1474</v>
      </c>
      <c r="B31" s="5" t="str">
        <f aca="false">IF(B21=B28,"OK","DIVERGE")</f>
        <v>OK</v>
      </c>
    </row>
    <row r="34" customFormat="false" ht="15" hidden="true" customHeight="true" outlineLevel="0" collapsed="false"/>
    <row r="35" customFormat="false" ht="15" hidden="true" customHeight="true" outlineLevel="0" collapsed="false">
      <c r="A35" s="20" t="s">
        <v>1475</v>
      </c>
    </row>
    <row r="36" customFormat="false" ht="15" hidden="true" customHeight="true" outlineLevel="0" collapsed="false">
      <c r="A36" s="27" t="s">
        <v>1476</v>
      </c>
      <c r="B36" s="28" t="n">
        <f aca="false">SUMIFS(Gastos!$D$2:$D$301,Gastos!$K$2:$K$301,"Verificável")</f>
        <v>0</v>
      </c>
    </row>
    <row r="37" customFormat="false" ht="15" hidden="true" customHeight="true" outlineLevel="0" collapsed="false">
      <c r="A37" s="27" t="s">
        <v>1477</v>
      </c>
      <c r="B37" s="29" t="n">
        <f aca="false">SUMIFS(Gastos!$C$2:$C$301,Gastos!$K$2:$K$301,"Verificável")</f>
        <v>0</v>
      </c>
    </row>
    <row r="38" customFormat="false" ht="15" hidden="true" customHeight="true" outlineLevel="0" collapsed="false">
      <c r="A38" s="27" t="s">
        <v>1478</v>
      </c>
      <c r="B38" s="29" t="n">
        <f aca="false">COUNTIF(Gastos!$K$2:$K$301,"Verificável")</f>
        <v>0</v>
      </c>
    </row>
    <row r="39" customFormat="false" ht="15" hidden="true" customHeight="true" outlineLevel="0" collapsed="false">
      <c r="A39" s="27" t="s">
        <v>1479</v>
      </c>
      <c r="B39" s="29" t="n">
        <f aca="false">COUNTA(Gastos!$A$2:$A$301)-B38</f>
        <v>0</v>
      </c>
    </row>
    <row r="42" customFormat="false" ht="15" hidden="false" customHeight="true" outlineLevel="0" collapsed="false">
      <c r="A42" s="20" t="s">
        <v>1480</v>
      </c>
    </row>
    <row r="43" customFormat="false" ht="15" hidden="false" customHeight="true" outlineLevel="0" collapsed="false">
      <c r="A43" s="27" t="s">
        <v>1481</v>
      </c>
      <c r="B43" s="29" t="n">
        <f aca="false">COUNTA('Lula 2022 (2023-2026)'!$A$2:$A$149)</f>
        <v>88</v>
      </c>
    </row>
    <row r="44" customFormat="false" ht="15" hidden="false" customHeight="true" outlineLevel="0" collapsed="false">
      <c r="A44" s="27" t="s">
        <v>1090</v>
      </c>
      <c r="B44" s="29" t="n">
        <f aca="false">COUNTIF('Lula 2022 (2023-2026)'!$H$2:$H$149,"Concluída")</f>
        <v>14</v>
      </c>
    </row>
    <row r="45" customFormat="false" ht="15" hidden="false" customHeight="true" outlineLevel="0" collapsed="false">
      <c r="A45" s="27" t="s">
        <v>372</v>
      </c>
      <c r="B45" s="29" t="n">
        <f aca="false">COUNTIF('Lula 2022 (2023-2026)'!$H$2:$H$149,"Em andamento")</f>
        <v>24</v>
      </c>
    </row>
    <row r="46" customFormat="false" ht="15" hidden="false" customHeight="true" outlineLevel="0" collapsed="false">
      <c r="A46" s="27" t="s">
        <v>55</v>
      </c>
      <c r="B46" s="29" t="n">
        <f aca="false">COUNTIF('Lula 2022 (2023-2026)'!$H$2:$H$149,"Não iniciada")</f>
        <v>1</v>
      </c>
    </row>
    <row r="47" customFormat="false" ht="15" hidden="false" customHeight="true" outlineLevel="0" collapsed="false">
      <c r="A47" s="27" t="s">
        <v>1482</v>
      </c>
      <c r="B47" s="29" t="n">
        <f aca="false">COUNTIF('Lula 2022 (2023-2026)'!$H$2:$H$149,"Sem dados")</f>
        <v>49</v>
      </c>
    </row>
    <row r="48" customFormat="false" ht="15" hidden="false" customHeight="true" outlineLevel="0" collapsed="false">
      <c r="A48" s="27" t="s">
        <v>1483</v>
      </c>
      <c r="B48" s="30" t="n">
        <f aca="false">IF(B43-B47=0,0,B44/(B43-B47))</f>
        <v>0.358974358974359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2026-10-26T02:09:22Z</dcterms:created>
  <dc:creator>openpyxl</dc:creator>
  <dc:description/>
  <dc:language>en-US</dc:language>
  <cp:lastModifiedBy/>
  <dcterms:modified xsi:type="dcterms:W3CDTF">2026-10-26T17:17:08Z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